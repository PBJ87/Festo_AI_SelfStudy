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beCoding_JSPark\Self_Study\Festo_AI_SelfStudy\Copilot_AI_Study_Activities\Customer_Visit_Note_App\Workload Review\"/>
    </mc:Choice>
  </mc:AlternateContent>
  <xr:revisionPtr revIDLastSave="0" documentId="13_ncr:1_{7BF5F8DB-A270-41EE-81C5-DAED24796272}" xr6:coauthVersionLast="47" xr6:coauthVersionMax="47" xr10:uidLastSave="{00000000-0000-0000-0000-000000000000}"/>
  <bookViews>
    <workbookView xWindow="28680" yWindow="960" windowWidth="29040" windowHeight="15720" xr2:uid="{3DE352D3-1C29-4836-802F-7C57CB4612A3}"/>
  </bookViews>
  <sheets>
    <sheet name="2026 Overview" sheetId="1" r:id="rId1"/>
    <sheet name="Sheet2" sheetId="4" r:id="rId2"/>
    <sheet name="Sheet1" sheetId="3" r:id="rId3"/>
  </sheets>
  <externalReferences>
    <externalReference r:id="rId4"/>
    <externalReference r:id="rId5"/>
    <externalReference r:id="rId6"/>
  </externalReferences>
  <definedNames>
    <definedName name="BSC">#REF!</definedName>
    <definedName name="BSCBU">#REF!</definedName>
    <definedName name="Clarification">#REF!</definedName>
    <definedName name="Farbe">'[1]Target Agreement'!$T$13:$T$15</definedName>
    <definedName name="Farben">'[2]Objectives(목표)'!#REF!</definedName>
    <definedName name="FarbenBU">'[2]Objectives(목표)'!#REF!</definedName>
    <definedName name="FaseApertProg">#REF!</definedName>
    <definedName name="FaseApertProgBU">#REF!</definedName>
    <definedName name="FaseApertura">#REF!</definedName>
    <definedName name="FaseAperturaBU">#REF!</definedName>
    <definedName name="FaseAttuale">#REF!</definedName>
    <definedName name="FaseAttualeBU">#REF!</definedName>
    <definedName name="FutureDevEnd">#REF!</definedName>
    <definedName name="FutureDevStart">#REF!</definedName>
    <definedName name="Identification">#REF!</definedName>
    <definedName name="IndustrySegment">[3]DropList!$A$2:$A$6</definedName>
    <definedName name="Mass_Ready">#REF!</definedName>
    <definedName name="Midyear_Review__okay__or_adjustment_needed">'[2]Objectives(목표)'!#REF!</definedName>
    <definedName name="PastDevEnd">#REF!</definedName>
    <definedName name="PastDevStart">#REF!</definedName>
    <definedName name="Piloting">#REF!</definedName>
    <definedName name="Productizing">#REF!</definedName>
    <definedName name="ReasonForRejection">[3]DropList!$C$2:$C$13</definedName>
    <definedName name="Settore">#REF!</definedName>
    <definedName name="SetttoreBU">#REF!</definedName>
    <definedName name="Valutazione">#REF!</definedName>
    <definedName name="ValutazioneBU">#REF!</definedName>
    <definedName name="VCC">[3]DropList!$B$2:$B$9</definedName>
    <definedName name="VonVerweisZurück">'[2]Calc. Perf Value for Talent Mgm'!#REF!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J40" i="1"/>
  <c r="J39" i="1"/>
  <c r="J38" i="1"/>
  <c r="J26" i="1"/>
  <c r="J25" i="1"/>
  <c r="J20" i="1"/>
  <c r="J16" i="1"/>
  <c r="J15" i="1"/>
  <c r="J14" i="1"/>
  <c r="J13" i="1"/>
  <c r="J12" i="1"/>
  <c r="J41" i="1" s="1"/>
  <c r="J11" i="1"/>
  <c r="I20" i="1"/>
  <c r="H8" i="4"/>
  <c r="G8" i="4"/>
  <c r="E7" i="4"/>
  <c r="I40" i="1"/>
  <c r="I39" i="1"/>
  <c r="I38" i="1"/>
  <c r="I25" i="1"/>
  <c r="I26" i="1"/>
  <c r="J27" i="1" l="1"/>
  <c r="I27" i="1"/>
  <c r="I16" i="1"/>
  <c r="I15" i="1"/>
  <c r="I14" i="1"/>
  <c r="I13" i="1"/>
  <c r="I12" i="1"/>
  <c r="I41" i="1" s="1"/>
  <c r="I11" i="1"/>
  <c r="B40" i="1" l="1"/>
  <c r="C40" i="1"/>
  <c r="D40" i="1"/>
  <c r="E40" i="1"/>
  <c r="F40" i="1"/>
  <c r="G40" i="1"/>
  <c r="H40" i="1"/>
  <c r="H39" i="1"/>
  <c r="H38" i="1"/>
  <c r="H26" i="1"/>
  <c r="H27" i="1" s="1"/>
  <c r="H25" i="1"/>
  <c r="H20" i="1"/>
  <c r="H16" i="1"/>
  <c r="H15" i="1"/>
  <c r="H14" i="1"/>
  <c r="H13" i="1"/>
  <c r="H12" i="1"/>
  <c r="H41" i="1" s="1"/>
  <c r="H11" i="1"/>
  <c r="N34" i="1" l="1"/>
  <c r="N29" i="1"/>
  <c r="N28" i="1"/>
  <c r="N30" i="1"/>
  <c r="N31" i="1"/>
  <c r="N32" i="1"/>
  <c r="N22" i="1"/>
  <c r="N23" i="1"/>
  <c r="N21" i="1"/>
  <c r="G20" i="1" l="1"/>
  <c r="B38" i="1"/>
  <c r="C38" i="1"/>
  <c r="D38" i="1"/>
  <c r="E38" i="1"/>
  <c r="F38" i="1"/>
  <c r="G38" i="1"/>
  <c r="G26" i="1"/>
  <c r="G25" i="1"/>
  <c r="G39" i="1"/>
  <c r="G16" i="1"/>
  <c r="G15" i="1"/>
  <c r="G14" i="1"/>
  <c r="G13" i="1"/>
  <c r="G12" i="1"/>
  <c r="G41" i="1" s="1"/>
  <c r="G11" i="1"/>
  <c r="F11" i="1"/>
  <c r="F12" i="1"/>
  <c r="F41" i="1" s="1"/>
  <c r="F13" i="1"/>
  <c r="F14" i="1"/>
  <c r="F15" i="1"/>
  <c r="F16" i="1"/>
  <c r="N24" i="1"/>
  <c r="F20" i="1"/>
  <c r="F25" i="1"/>
  <c r="F26" i="1"/>
  <c r="C14" i="1"/>
  <c r="D14" i="1"/>
  <c r="E14" i="1"/>
  <c r="B14" i="1"/>
  <c r="B20" i="1"/>
  <c r="C20" i="1"/>
  <c r="D20" i="1"/>
  <c r="E20" i="1"/>
  <c r="C26" i="1"/>
  <c r="C27" i="1" s="1"/>
  <c r="D26" i="1"/>
  <c r="E26" i="1"/>
  <c r="B26" i="1"/>
  <c r="C25" i="1"/>
  <c r="D25" i="1"/>
  <c r="E25" i="1"/>
  <c r="N36" i="1"/>
  <c r="B25" i="1"/>
  <c r="N37" i="1"/>
  <c r="N35" i="1"/>
  <c r="N6" i="1"/>
  <c r="E39" i="1"/>
  <c r="E13" i="1"/>
  <c r="C13" i="1"/>
  <c r="D13" i="1"/>
  <c r="B13" i="1"/>
  <c r="C12" i="1"/>
  <c r="C41" i="1" s="1"/>
  <c r="D12" i="1"/>
  <c r="D41" i="1" s="1"/>
  <c r="E12" i="1"/>
  <c r="E41" i="1" s="1"/>
  <c r="B12" i="1"/>
  <c r="B41" i="1" s="1"/>
  <c r="N5" i="1"/>
  <c r="C16" i="1"/>
  <c r="D16" i="1"/>
  <c r="E16" i="1"/>
  <c r="B16" i="1"/>
  <c r="N8" i="1"/>
  <c r="N7" i="1"/>
  <c r="N4" i="1"/>
  <c r="N3" i="1"/>
  <c r="C11" i="1"/>
  <c r="B11" i="1"/>
  <c r="E15" i="1"/>
  <c r="E11" i="1"/>
  <c r="D11" i="1"/>
  <c r="D39" i="1"/>
  <c r="B39" i="1"/>
  <c r="C39" i="1"/>
  <c r="N33" i="1"/>
  <c r="N11" i="1" l="1"/>
  <c r="G27" i="1"/>
  <c r="D27" i="1"/>
  <c r="N16" i="1"/>
  <c r="N38" i="1"/>
  <c r="N26" i="1"/>
  <c r="F27" i="1"/>
  <c r="N14" i="1"/>
  <c r="N12" i="1"/>
  <c r="N15" i="1"/>
  <c r="F39" i="1"/>
  <c r="E27" i="1"/>
  <c r="B27" i="1"/>
  <c r="N13" i="1"/>
  <c r="N25" i="1"/>
  <c r="N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Park, Jongsik</author>
  </authors>
  <commentList>
    <comment ref="C21" authorId="0" shapeId="0" xr:uid="{C8A6989E-AEF3-4105-974C-21AF60E977BF}">
      <text>
        <r>
          <rPr>
            <b/>
            <sz val="9"/>
            <color indexed="81"/>
            <rFont val="Tahoma"/>
            <family val="2"/>
          </rPr>
          <t>Park, Jongsik: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PJT
 - </t>
        </r>
        <r>
          <rPr>
            <sz val="9"/>
            <color indexed="81"/>
            <rFont val="돋움"/>
            <family val="3"/>
            <charset val="129"/>
          </rPr>
          <t>신형</t>
        </r>
        <r>
          <rPr>
            <sz val="9"/>
            <color indexed="81"/>
            <rFont val="Tahoma"/>
            <family val="2"/>
          </rPr>
          <t xml:space="preserve">FA
 - </t>
        </r>
        <r>
          <rPr>
            <sz val="9"/>
            <color indexed="81"/>
            <rFont val="돋움"/>
            <family val="3"/>
            <charset val="129"/>
          </rPr>
          <t xml:space="preserve">인스케이프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㈜에스에프에이</t>
        </r>
      </text>
    </comment>
    <comment ref="D21" authorId="0" shapeId="0" xr:uid="{2D045C4A-AAC2-47DF-9590-7AD3403CC246}">
      <text>
        <r>
          <rPr>
            <b/>
            <sz val="9"/>
            <color indexed="81"/>
            <rFont val="Tahoma"/>
            <family val="2"/>
          </rPr>
          <t>Park, Jongsik: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PJT = 5 PJTs</t>
        </r>
      </text>
    </comment>
    <comment ref="E21" authorId="0" shapeId="0" xr:uid="{79977ABD-8E9F-4816-9D9F-2B0440371E1A}">
      <text>
        <r>
          <rPr>
            <b/>
            <sz val="9"/>
            <color indexed="81"/>
            <rFont val="Tahoma"/>
            <family val="2"/>
          </rPr>
          <t>Park, Jongsik:</t>
        </r>
        <r>
          <rPr>
            <sz val="9"/>
            <color indexed="81"/>
            <rFont val="Tahoma"/>
            <family val="2"/>
          </rPr>
          <t xml:space="preserve">
New PJT : xx </t>
        </r>
        <r>
          <rPr>
            <sz val="9"/>
            <color indexed="81"/>
            <rFont val="돋움"/>
            <family val="3"/>
            <charset val="129"/>
          </rPr>
          <t xml:space="preserve">개
</t>
        </r>
        <r>
          <rPr>
            <sz val="9"/>
            <color indexed="81"/>
            <rFont val="Tahoma"/>
            <family val="2"/>
          </rPr>
          <t>Rev PJT : xx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>, Axis kit drawing : xx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C22" authorId="0" shapeId="0" xr:uid="{A9763565-1DD4-4D2E-83C9-B73C5696701A}">
      <text>
        <r>
          <rPr>
            <b/>
            <sz val="9"/>
            <color indexed="81"/>
            <rFont val="Tahoma"/>
            <family val="2"/>
          </rPr>
          <t>Park, Jongsik: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 PJT
 - </t>
        </r>
        <r>
          <rPr>
            <sz val="9"/>
            <color indexed="81"/>
            <rFont val="돋움"/>
            <family val="3"/>
            <charset val="129"/>
          </rPr>
          <t xml:space="preserve">인스케이프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에스에프에이</t>
        </r>
      </text>
    </comment>
    <comment ref="D22" authorId="0" shapeId="0" xr:uid="{31472AE1-0B99-4EE4-8BA7-4D5800C0C368}">
      <text>
        <r>
          <rPr>
            <b/>
            <sz val="9"/>
            <color indexed="81"/>
            <rFont val="Tahoma"/>
            <family val="2"/>
          </rPr>
          <t>Park, Jongsik: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PJT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신형</t>
        </r>
        <r>
          <rPr>
            <sz val="9"/>
            <color indexed="81"/>
            <rFont val="Tahoma"/>
            <family val="2"/>
          </rPr>
          <t xml:space="preserve">FA
- </t>
        </r>
        <r>
          <rPr>
            <sz val="9"/>
            <color indexed="81"/>
            <rFont val="돋움"/>
            <family val="3"/>
            <charset val="129"/>
          </rPr>
          <t xml:space="preserve">㈜에스에프에이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 xml:space="preserve">㈜하나기술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대진긱</t>
        </r>
      </text>
    </comment>
  </commentList>
</comments>
</file>

<file path=xl/sharedStrings.xml><?xml version="1.0" encoding="utf-8"?>
<sst xmlns="http://schemas.openxmlformats.org/spreadsheetml/2006/main" count="102" uniqueCount="67">
  <si>
    <t>FEB</t>
    <phoneticPr fontId="4" type="noConversion"/>
  </si>
  <si>
    <t>SUM</t>
    <phoneticPr fontId="4" type="noConversion"/>
  </si>
  <si>
    <t>JAN</t>
    <phoneticPr fontId="4" type="noConversion"/>
  </si>
  <si>
    <t>MAR</t>
    <phoneticPr fontId="4" type="noConversion"/>
  </si>
  <si>
    <t>APR</t>
    <phoneticPr fontId="4" type="noConversion"/>
  </si>
  <si>
    <t>MAY</t>
    <phoneticPr fontId="4" type="noConversion"/>
  </si>
  <si>
    <t>JUN</t>
    <phoneticPr fontId="4" type="noConversion"/>
  </si>
  <si>
    <t>JUL</t>
    <phoneticPr fontId="4" type="noConversion"/>
  </si>
  <si>
    <t>AUG</t>
    <phoneticPr fontId="4" type="noConversion"/>
  </si>
  <si>
    <t>SEP</t>
    <phoneticPr fontId="4" type="noConversion"/>
  </si>
  <si>
    <t>OCT</t>
    <phoneticPr fontId="4" type="noConversion"/>
  </si>
  <si>
    <t>NOV</t>
    <phoneticPr fontId="4" type="noConversion"/>
  </si>
  <si>
    <t>DEC</t>
    <phoneticPr fontId="4" type="noConversion"/>
  </si>
  <si>
    <t>EA Turnover (ALL)</t>
    <phoneticPr fontId="4" type="noConversion"/>
  </si>
  <si>
    <t>CS quoted volume (VCC6,8) KRW</t>
    <phoneticPr fontId="4" type="noConversion"/>
  </si>
  <si>
    <t>Tech - ISM CS Turnover (ALL)</t>
    <phoneticPr fontId="4" type="noConversion"/>
  </si>
  <si>
    <t>Tech - ISM CS Turnover (VCC6,8)</t>
    <phoneticPr fontId="4" type="noConversion"/>
  </si>
  <si>
    <t xml:space="preserve">EA CS Turnover (VCC6,8) </t>
    <phoneticPr fontId="4" type="noConversion"/>
  </si>
  <si>
    <t>Tech - ISM CS Open order (VCC6,8)</t>
    <phoneticPr fontId="4" type="noConversion"/>
  </si>
  <si>
    <t xml:space="preserve">EA Turnover (ALL) </t>
    <phoneticPr fontId="4" type="noConversion"/>
  </si>
  <si>
    <t>단위 : KRW</t>
    <phoneticPr fontId="4" type="noConversion"/>
  </si>
  <si>
    <t>단위 : MKRW</t>
    <phoneticPr fontId="4" type="noConversion"/>
  </si>
  <si>
    <t>수기로 입력 필요</t>
    <phoneticPr fontId="4" type="noConversion"/>
  </si>
  <si>
    <t>Tech - ISM CS Turnover (ALL) - Net sales</t>
    <phoneticPr fontId="4" type="noConversion"/>
  </si>
  <si>
    <t>Core work</t>
    <phoneticPr fontId="4" type="noConversion"/>
  </si>
  <si>
    <t>Others(CSCONS/CSORG)</t>
  </si>
  <si>
    <t>Vacation</t>
    <phoneticPr fontId="4" type="noConversion"/>
  </si>
  <si>
    <t>Total MH</t>
    <phoneticPr fontId="4" type="noConversion"/>
  </si>
  <si>
    <t>Total work</t>
    <phoneticPr fontId="4" type="noConversion"/>
  </si>
  <si>
    <t>Technical support(CSCONS)</t>
    <phoneticPr fontId="4" type="noConversion"/>
  </si>
  <si>
    <t>Others(CSORG)</t>
    <phoneticPr fontId="4" type="noConversion"/>
  </si>
  <si>
    <t>수식(만지지 말기)</t>
    <phoneticPr fontId="4" type="noConversion"/>
  </si>
  <si>
    <t>Engineering information (VCC6,8)</t>
    <phoneticPr fontId="4" type="noConversion"/>
  </si>
  <si>
    <t>Actual Eng. MH(Total - Vacation-Others)</t>
    <phoneticPr fontId="4" type="noConversion"/>
  </si>
  <si>
    <t>Qty of Total Drawing VCC6,8</t>
    <phoneticPr fontId="4" type="noConversion"/>
  </si>
  <si>
    <t>Tech - ISM CS Open order (MKRW)</t>
    <phoneticPr fontId="4" type="noConversion"/>
  </si>
  <si>
    <t>Tech - ISM CS Turnover (MKRW)</t>
    <phoneticPr fontId="4" type="noConversion"/>
  </si>
  <si>
    <t>Quoted Volume (MKRW)</t>
    <phoneticPr fontId="4" type="noConversion"/>
  </si>
  <si>
    <t>Qty of Quotation - 발행 작업 + 발행 된 것(Net2)</t>
    <phoneticPr fontId="4" type="noConversion"/>
  </si>
  <si>
    <t>n/a</t>
    <phoneticPr fontId="4" type="noConversion"/>
  </si>
  <si>
    <t>Total MH(EA)</t>
    <phoneticPr fontId="4" type="noConversion"/>
  </si>
  <si>
    <t>Execution MH(EA)</t>
    <phoneticPr fontId="4" type="noConversion"/>
  </si>
  <si>
    <t>Quotation MH(EA)</t>
    <phoneticPr fontId="4" type="noConversion"/>
  </si>
  <si>
    <t>Quotation MH(PNA/PI/SEMI)</t>
    <phoneticPr fontId="4" type="noConversion"/>
  </si>
  <si>
    <t>Execution MH(PNA/PI/SEMI)</t>
    <phoneticPr fontId="4" type="noConversion"/>
  </si>
  <si>
    <t>Technical Support</t>
    <phoneticPr fontId="4" type="noConversion"/>
  </si>
  <si>
    <t>Qty of Drawing(PNA/SEMI)</t>
    <phoneticPr fontId="4" type="noConversion"/>
  </si>
  <si>
    <t>MH per Quotation(EA)</t>
    <phoneticPr fontId="4" type="noConversion"/>
  </si>
  <si>
    <t>MH per Execution(EA)</t>
    <phoneticPr fontId="4" type="noConversion"/>
  </si>
  <si>
    <t>Qty of Quotation(EA)</t>
    <phoneticPr fontId="4" type="noConversion"/>
  </si>
  <si>
    <t>PJT Workload(%, EA)</t>
    <phoneticPr fontId="4" type="noConversion"/>
  </si>
  <si>
    <t>SI,JY</t>
    <phoneticPr fontId="4" type="noConversion"/>
  </si>
  <si>
    <t>JS Kim</t>
    <phoneticPr fontId="4" type="noConversion"/>
  </si>
  <si>
    <t>YC, SW</t>
    <phoneticPr fontId="4" type="noConversion"/>
  </si>
  <si>
    <t>Qty of New Order Drawing PJT(EA)</t>
    <phoneticPr fontId="4" type="noConversion"/>
  </si>
  <si>
    <t>Qty of Rev. Order Drawing of PJT(EA)</t>
    <phoneticPr fontId="4" type="noConversion"/>
  </si>
  <si>
    <t>Order Drawing MH(EA)</t>
    <phoneticPr fontId="4" type="noConversion"/>
  </si>
  <si>
    <t>MH per Order Drawing(EA)</t>
    <phoneticPr fontId="4" type="noConversion"/>
  </si>
  <si>
    <t>Proposal</t>
    <phoneticPr fontId="4" type="noConversion"/>
  </si>
  <si>
    <t>EA</t>
    <phoneticPr fontId="4" type="noConversion"/>
  </si>
  <si>
    <t>SI</t>
    <phoneticPr fontId="4" type="noConversion"/>
  </si>
  <si>
    <t>New</t>
    <phoneticPr fontId="4" type="noConversion"/>
  </si>
  <si>
    <t>Rev</t>
    <phoneticPr fontId="4" type="noConversion"/>
  </si>
  <si>
    <t>JY</t>
    <phoneticPr fontId="4" type="noConversion"/>
  </si>
  <si>
    <t>NEw</t>
    <phoneticPr fontId="4" type="noConversion"/>
  </si>
  <si>
    <t>Order Drawing MH(PNA/PI/SEMI)</t>
    <phoneticPr fontId="4" type="noConversion"/>
  </si>
  <si>
    <t>Proposal MH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</si>
</sst>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0_);[Red]\(0\)"/>
    <numFmt numFmtId="179" formatCode="_-* #,##0.0_-;\-* #,##0.0_-;_-* &quot;-&quot;_-;_-@_-"/>
    <numFmt numFmtId="180" formatCode="_-* #,##0.00_-;\-* #,##0.00_-;_-* &quot;-&quot;_-;_-@_-"/>
    <numFmt numFmtId="181" formatCode="&quot;₩&quot;#,##0"/>
    <numFmt numFmtId="182" formatCode="0.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2" applyFont="1" applyBorder="1">
      <alignment vertical="center"/>
    </xf>
    <xf numFmtId="0" fontId="0" fillId="0" borderId="2" xfId="0" applyBorder="1">
      <alignment vertical="center"/>
    </xf>
    <xf numFmtId="181" fontId="0" fillId="0" borderId="1" xfId="0" applyNumberFormat="1" applyBorder="1" applyAlignment="1"/>
    <xf numFmtId="181" fontId="0" fillId="0" borderId="2" xfId="0" applyNumberFormat="1" applyBorder="1" applyAlignment="1"/>
    <xf numFmtId="176" fontId="0" fillId="0" borderId="2" xfId="0" applyNumberFormat="1" applyBorder="1">
      <alignment vertical="center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center"/>
    </xf>
    <xf numFmtId="0" fontId="0" fillId="4" borderId="1" xfId="0" applyFill="1" applyBorder="1">
      <alignment vertical="center"/>
    </xf>
    <xf numFmtId="0" fontId="3" fillId="5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0" fillId="6" borderId="1" xfId="0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76" fontId="5" fillId="3" borderId="1" xfId="2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8" borderId="1" xfId="1" applyNumberFormat="1" applyFont="1" applyFill="1" applyBorder="1">
      <alignment vertical="center"/>
    </xf>
    <xf numFmtId="0" fontId="0" fillId="3" borderId="1" xfId="0" applyFill="1" applyBorder="1">
      <alignment vertical="center"/>
    </xf>
    <xf numFmtId="1" fontId="0" fillId="8" borderId="1" xfId="0" applyNumberFormat="1" applyFill="1" applyBorder="1">
      <alignment vertical="center"/>
    </xf>
    <xf numFmtId="2" fontId="0" fillId="7" borderId="1" xfId="0" applyNumberFormat="1" applyFill="1" applyBorder="1">
      <alignment vertical="center"/>
    </xf>
    <xf numFmtId="177" fontId="6" fillId="7" borderId="1" xfId="1" applyFont="1" applyFill="1" applyBorder="1">
      <alignment vertical="center"/>
    </xf>
    <xf numFmtId="177" fontId="0" fillId="7" borderId="1" xfId="1" applyFont="1" applyFill="1" applyBorder="1">
      <alignment vertical="center"/>
    </xf>
    <xf numFmtId="0" fontId="0" fillId="8" borderId="1" xfId="2" applyNumberFormat="1" applyFont="1" applyFill="1" applyBorder="1">
      <alignment vertical="center"/>
    </xf>
    <xf numFmtId="0" fontId="0" fillId="8" borderId="1" xfId="2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77" fontId="0" fillId="8" borderId="1" xfId="1" applyFont="1" applyFill="1" applyBorder="1">
      <alignment vertical="center"/>
    </xf>
    <xf numFmtId="178" fontId="0" fillId="8" borderId="1" xfId="1" applyNumberFormat="1" applyFont="1" applyFill="1" applyBorder="1">
      <alignment vertical="center"/>
    </xf>
    <xf numFmtId="178" fontId="0" fillId="8" borderId="1" xfId="2" applyNumberFormat="1" applyFont="1" applyFill="1" applyBorder="1">
      <alignment vertical="center"/>
    </xf>
    <xf numFmtId="178" fontId="0" fillId="7" borderId="1" xfId="1" applyNumberFormat="1" applyFont="1" applyFill="1" applyBorder="1">
      <alignment vertical="center"/>
    </xf>
    <xf numFmtId="179" fontId="0" fillId="7" borderId="1" xfId="1" applyNumberFormat="1" applyFont="1" applyFill="1" applyBorder="1">
      <alignment vertical="center"/>
    </xf>
    <xf numFmtId="2" fontId="0" fillId="7" borderId="1" xfId="0" applyNumberFormat="1" applyFill="1" applyBorder="1" applyAlignment="1">
      <alignment horizontal="center" vertical="center"/>
    </xf>
    <xf numFmtId="180" fontId="0" fillId="7" borderId="1" xfId="1" applyNumberFormat="1" applyFont="1" applyFill="1" applyBorder="1">
      <alignment vertical="center"/>
    </xf>
    <xf numFmtId="0" fontId="0" fillId="7" borderId="1" xfId="1" applyNumberFormat="1" applyFont="1" applyFill="1" applyBorder="1" applyAlignment="1">
      <alignment horizontal="center" vertical="center"/>
    </xf>
    <xf numFmtId="181" fontId="0" fillId="8" borderId="1" xfId="0" applyNumberFormat="1" applyFill="1" applyBorder="1" applyAlignment="1"/>
    <xf numFmtId="181" fontId="0" fillId="8" borderId="2" xfId="0" applyNumberFormat="1" applyFill="1" applyBorder="1" applyAlignment="1"/>
    <xf numFmtId="0" fontId="0" fillId="9" borderId="1" xfId="2" applyNumberFormat="1" applyFont="1" applyFill="1" applyBorder="1">
      <alignment vertical="center"/>
    </xf>
    <xf numFmtId="0" fontId="3" fillId="10" borderId="1" xfId="0" applyFont="1" applyFill="1" applyBorder="1">
      <alignment vertical="center"/>
    </xf>
    <xf numFmtId="1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177" fontId="0" fillId="9" borderId="1" xfId="1" applyFont="1" applyFill="1" applyBorder="1">
      <alignment vertical="center"/>
    </xf>
    <xf numFmtId="178" fontId="0" fillId="9" borderId="1" xfId="1" applyNumberFormat="1" applyFont="1" applyFill="1" applyBorder="1">
      <alignment vertical="center"/>
    </xf>
    <xf numFmtId="182" fontId="0" fillId="8" borderId="1" xfId="0" applyNumberFormat="1" applyFill="1" applyBorder="1">
      <alignment vertical="center"/>
    </xf>
    <xf numFmtId="1" fontId="3" fillId="10" borderId="1" xfId="0" applyNumberFormat="1" applyFont="1" applyFill="1" applyBorder="1">
      <alignment vertical="center"/>
    </xf>
    <xf numFmtId="177" fontId="3" fillId="10" borderId="1" xfId="1" applyFont="1" applyFill="1" applyBorder="1">
      <alignment vertical="center"/>
    </xf>
    <xf numFmtId="178" fontId="3" fillId="10" borderId="1" xfId="1" applyNumberFormat="1" applyFont="1" applyFill="1" applyBorder="1">
      <alignment vertical="center"/>
    </xf>
    <xf numFmtId="1" fontId="5" fillId="3" borderId="1" xfId="0" applyNumberFormat="1" applyFont="1" applyFill="1" applyBorder="1">
      <alignment vertical="center"/>
    </xf>
    <xf numFmtId="0" fontId="5" fillId="3" borderId="1" xfId="0" applyFont="1" applyFill="1" applyBorder="1">
      <alignment vertical="center"/>
    </xf>
    <xf numFmtId="178" fontId="0" fillId="3" borderId="1" xfId="2" applyNumberFormat="1" applyFont="1" applyFill="1" applyBorder="1">
      <alignment vertical="center"/>
    </xf>
    <xf numFmtId="177" fontId="0" fillId="3" borderId="1" xfId="1" applyFont="1" applyFill="1" applyBorder="1">
      <alignment vertical="center"/>
    </xf>
    <xf numFmtId="178" fontId="2" fillId="3" borderId="1" xfId="2" applyNumberFormat="1" applyFont="1" applyFill="1" applyBorder="1">
      <alignment vertical="center"/>
    </xf>
    <xf numFmtId="0" fontId="0" fillId="3" borderId="1" xfId="1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9" fontId="6" fillId="3" borderId="1" xfId="4" applyFont="1" applyFill="1" applyBorder="1">
      <alignment vertical="center"/>
    </xf>
    <xf numFmtId="0" fontId="0" fillId="3" borderId="1" xfId="1" applyNumberFormat="1" applyFont="1" applyFill="1" applyBorder="1">
      <alignment vertical="center"/>
    </xf>
    <xf numFmtId="178" fontId="0" fillId="3" borderId="1" xfId="1" applyNumberFormat="1" applyFont="1" applyFill="1" applyBorder="1">
      <alignment vertical="center"/>
    </xf>
    <xf numFmtId="0" fontId="3" fillId="11" borderId="1" xfId="2" applyNumberFormat="1" applyFont="1" applyFill="1" applyBorder="1">
      <alignment vertical="center"/>
    </xf>
    <xf numFmtId="0" fontId="3" fillId="11" borderId="1" xfId="0" applyFont="1" applyFill="1" applyBorder="1">
      <alignment vertical="center"/>
    </xf>
    <xf numFmtId="0" fontId="3" fillId="11" borderId="1" xfId="1" applyNumberFormat="1" applyFont="1" applyFill="1" applyBorder="1">
      <alignment vertical="center"/>
    </xf>
    <xf numFmtId="177" fontId="0" fillId="7" borderId="1" xfId="1" applyFont="1" applyFill="1" applyBorder="1" applyAlignment="1">
      <alignment horizontal="center" vertical="center"/>
    </xf>
    <xf numFmtId="0" fontId="3" fillId="7" borderId="1" xfId="1" applyNumberFormat="1" applyFont="1" applyFill="1" applyBorder="1" applyAlignment="1">
      <alignment horizontal="center" vertical="center"/>
    </xf>
    <xf numFmtId="0" fontId="5" fillId="7" borderId="1" xfId="1" applyNumberFormat="1" applyFont="1" applyFill="1" applyBorder="1" applyAlignment="1">
      <alignment horizontal="center" vertical="center"/>
    </xf>
    <xf numFmtId="1" fontId="0" fillId="7" borderId="1" xfId="1" applyNumberFormat="1" applyFont="1" applyFill="1" applyBorder="1" applyAlignment="1">
      <alignment horizontal="center" vertical="center"/>
    </xf>
    <xf numFmtId="9" fontId="0" fillId="7" borderId="1" xfId="1" applyNumberFormat="1" applyFont="1" applyFill="1" applyBorder="1" applyAlignment="1">
      <alignment horizontal="center" vertical="center"/>
    </xf>
    <xf numFmtId="182" fontId="0" fillId="7" borderId="1" xfId="1" applyNumberFormat="1" applyFont="1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77" fontId="0" fillId="7" borderId="1" xfId="1" applyFont="1" applyFill="1" applyBorder="1" applyAlignment="1">
      <alignment horizontal="left" vertical="center"/>
    </xf>
    <xf numFmtId="177" fontId="6" fillId="7" borderId="1" xfId="1" applyFont="1" applyFill="1" applyBorder="1" applyAlignment="1">
      <alignment horizontal="center" vertical="center"/>
    </xf>
    <xf numFmtId="178" fontId="12" fillId="3" borderId="1" xfId="2" applyNumberFormat="1" applyFont="1" applyFill="1" applyBorder="1">
      <alignment vertical="center"/>
    </xf>
    <xf numFmtId="177" fontId="12" fillId="3" borderId="1" xfId="1" applyFont="1" applyFill="1" applyBorder="1">
      <alignment vertical="center"/>
    </xf>
    <xf numFmtId="0" fontId="6" fillId="7" borderId="1" xfId="1" applyNumberFormat="1" applyFont="1" applyFill="1" applyBorder="1" applyAlignment="1">
      <alignment horizontal="center" vertical="center"/>
    </xf>
    <xf numFmtId="176" fontId="7" fillId="2" borderId="1" xfId="2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5">
    <cellStyle name="백분율" xfId="4" builtinId="5"/>
    <cellStyle name="쉼표 [0]" xfId="1" builtinId="6"/>
    <cellStyle name="통화 [0]" xfId="2" builtinId="7"/>
    <cellStyle name="통화 [0] 2" xfId="3" xr:uid="{A2193036-7407-48C1-A1CC-193250C6B8D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664371855331525E-2"/>
          <c:y val="3.329306379589609E-2"/>
          <c:w val="0.8878052750824228"/>
          <c:h val="0.76432397389738527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'2026 Overview'!$A$21</c:f>
              <c:strCache>
                <c:ptCount val="1"/>
                <c:pt idx="0">
                  <c:v>Qty of New Order Drawing PJT(EA)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 Overview'!$B$21:$M$21</c:f>
              <c:numCache>
                <c:formatCode>General</c:formatCode>
                <c:ptCount val="12"/>
                <c:pt idx="0">
                  <c:v>91</c:v>
                </c:pt>
                <c:pt idx="1">
                  <c:v>146</c:v>
                </c:pt>
                <c:pt idx="2">
                  <c:v>211</c:v>
                </c:pt>
                <c:pt idx="3">
                  <c:v>115</c:v>
                </c:pt>
                <c:pt idx="4">
                  <c:v>61</c:v>
                </c:pt>
                <c:pt idx="5">
                  <c:v>90</c:v>
                </c:pt>
                <c:pt idx="6">
                  <c:v>179</c:v>
                </c:pt>
                <c:pt idx="7">
                  <c:v>162</c:v>
                </c:pt>
                <c:pt idx="8">
                  <c:v>19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01-48D8-B1EE-13B2E6072C19}"/>
            </c:ext>
          </c:extLst>
        </c:ser>
        <c:ser>
          <c:idx val="6"/>
          <c:order val="1"/>
          <c:tx>
            <c:strRef>
              <c:f>'2026 Overview'!$A$22</c:f>
              <c:strCache>
                <c:ptCount val="1"/>
                <c:pt idx="0">
                  <c:v>Qty of Rev. Order Drawing of PJT(EA)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24-4744-B92B-8F08233050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 Overview'!$B$22:$J$22</c:f>
              <c:numCache>
                <c:formatCode>General</c:formatCode>
                <c:ptCount val="9"/>
                <c:pt idx="0">
                  <c:v>34</c:v>
                </c:pt>
                <c:pt idx="1">
                  <c:v>6</c:v>
                </c:pt>
                <c:pt idx="2">
                  <c:v>243</c:v>
                </c:pt>
                <c:pt idx="3">
                  <c:v>50</c:v>
                </c:pt>
                <c:pt idx="4">
                  <c:v>26</c:v>
                </c:pt>
                <c:pt idx="5">
                  <c:v>36</c:v>
                </c:pt>
                <c:pt idx="6">
                  <c:v>110</c:v>
                </c:pt>
                <c:pt idx="7">
                  <c:v>79</c:v>
                </c:pt>
                <c:pt idx="8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4-4744-B92B-8F0823305027}"/>
            </c:ext>
          </c:extLst>
        </c:ser>
        <c:ser>
          <c:idx val="1"/>
          <c:order val="3"/>
          <c:tx>
            <c:strRef>
              <c:f>'2026 Overview'!$A$24</c:f>
              <c:strCache>
                <c:ptCount val="1"/>
                <c:pt idx="0">
                  <c:v>Qty of Quotation(EA)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 Overview'!$B$24:$M$24</c:f>
              <c:numCache>
                <c:formatCode>General</c:formatCode>
                <c:ptCount val="12"/>
                <c:pt idx="0">
                  <c:v>23</c:v>
                </c:pt>
                <c:pt idx="1">
                  <c:v>21</c:v>
                </c:pt>
                <c:pt idx="2">
                  <c:v>32</c:v>
                </c:pt>
                <c:pt idx="3">
                  <c:v>39</c:v>
                </c:pt>
                <c:pt idx="4">
                  <c:v>14</c:v>
                </c:pt>
                <c:pt idx="5">
                  <c:v>44</c:v>
                </c:pt>
                <c:pt idx="6">
                  <c:v>35</c:v>
                </c:pt>
                <c:pt idx="7">
                  <c:v>24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01-48D8-B1EE-13B2E6072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037000"/>
        <c:axId val="1239038800"/>
        <c:extLst>
          <c:ext xmlns:c15="http://schemas.microsoft.com/office/drawing/2012/chart" uri="{02D57815-91ED-43cb-92C2-25804820EDAC}">
            <c15:filteredBa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'2026 Overview'!#REF!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4">
                      <a:tint val="4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'2026 Overview'!$B$19:$M$19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 Overview'!#REF!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2D8-45DB-B2E0-794E6EE802F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4"/>
          <c:tx>
            <c:strRef>
              <c:f>'2026 Overview'!$A$14</c:f>
              <c:strCache>
                <c:ptCount val="1"/>
                <c:pt idx="0">
                  <c:v>Quoted Volume (MKRW)</c:v>
                </c:pt>
              </c:strCache>
            </c:strRef>
          </c:tx>
          <c:spPr>
            <a:ln w="190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0967488822445307E-3"/>
                  <c:y val="-5.6756741994179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75-4AA8-B42E-456333FA700F}"/>
                </c:ext>
              </c:extLst>
            </c:dLbl>
            <c:dLbl>
              <c:idx val="1"/>
              <c:layout>
                <c:manualLayout>
                  <c:x val="7.6899994282238491E-3"/>
                  <c:y val="-5.83118847120464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2D8-45DB-B2E0-794E6EE802F5}"/>
                </c:ext>
              </c:extLst>
            </c:dLbl>
            <c:dLbl>
              <c:idx val="3"/>
              <c:layout>
                <c:manualLayout>
                  <c:x val="1.0987523920136301E-2"/>
                  <c:y val="-8.25003686953712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2D8-45DB-B2E0-794E6EE802F5}"/>
                </c:ext>
              </c:extLst>
            </c:dLbl>
            <c:dLbl>
              <c:idx val="4"/>
              <c:layout>
                <c:manualLayout>
                  <c:x val="1.3160986586933807E-2"/>
                  <c:y val="-1.47147108873799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75-4AA8-B42E-456333FA700F}"/>
                </c:ext>
              </c:extLst>
            </c:dLbl>
            <c:dLbl>
              <c:idx val="6"/>
              <c:layout>
                <c:manualLayout>
                  <c:x val="1.306191600636368E-2"/>
                  <c:y val="-5.4654649485266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C4B-4B86-94E2-D82164A8CEC1}"/>
                </c:ext>
              </c:extLst>
            </c:dLbl>
            <c:spPr>
              <a:noFill/>
              <a:ln>
                <a:solidFill>
                  <a:srgbClr val="00B05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Overview'!$B$14:$M$14</c:f>
              <c:numCache>
                <c:formatCode>_(* #,##0_);_(* \(#,##0\);_(* "-"_);_(@_)</c:formatCode>
                <c:ptCount val="12"/>
                <c:pt idx="0">
                  <c:v>931.42876999999999</c:v>
                </c:pt>
                <c:pt idx="1">
                  <c:v>139.53982028999999</c:v>
                </c:pt>
                <c:pt idx="2">
                  <c:v>659.38147000000004</c:v>
                </c:pt>
                <c:pt idx="3">
                  <c:v>672.90617099999997</c:v>
                </c:pt>
                <c:pt idx="4">
                  <c:v>492.83269000000001</c:v>
                </c:pt>
                <c:pt idx="5">
                  <c:v>694.35185999999999</c:v>
                </c:pt>
                <c:pt idx="6">
                  <c:v>769.82547999999997</c:v>
                </c:pt>
                <c:pt idx="7">
                  <c:v>254.61706000000001</c:v>
                </c:pt>
                <c:pt idx="8">
                  <c:v>319.25582000000003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2D8-45DB-B2E0-794E6EE802F5}"/>
            </c:ext>
          </c:extLst>
        </c:ser>
        <c:ser>
          <c:idx val="4"/>
          <c:order val="5"/>
          <c:tx>
            <c:strRef>
              <c:f>'2026 Overview'!$A$12</c:f>
              <c:strCache>
                <c:ptCount val="1"/>
                <c:pt idx="0">
                  <c:v>Tech - ISM CS Turnover (MKRW)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775417781022013E-3"/>
                  <c:y val="-8.8893385694333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75-4AA8-B42E-456333FA700F}"/>
                </c:ext>
              </c:extLst>
            </c:dLbl>
            <c:dLbl>
              <c:idx val="2"/>
              <c:layout>
                <c:manualLayout>
                  <c:x val="0"/>
                  <c:y val="-4.8348335772819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75-4AA8-B42E-456333FA700F}"/>
                </c:ext>
              </c:extLst>
            </c:dLbl>
            <c:dLbl>
              <c:idx val="3"/>
              <c:layout>
                <c:manualLayout>
                  <c:x val="1.0985713468891271E-2"/>
                  <c:y val="3.1099671846425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2D8-45DB-B2E0-794E6EE802F5}"/>
                </c:ext>
              </c:extLst>
            </c:dLbl>
            <c:dLbl>
              <c:idx val="4"/>
              <c:layout>
                <c:manualLayout>
                  <c:x val="0"/>
                  <c:y val="-4.22949925868787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D-4F18-970A-7FC9C294BCB1}"/>
                </c:ext>
              </c:extLst>
            </c:dLbl>
            <c:dLbl>
              <c:idx val="5"/>
              <c:layout>
                <c:manualLayout>
                  <c:x val="2.387400690240776E-3"/>
                  <c:y val="-7.04916543114647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D-4F18-970A-7FC9C294BCB1}"/>
                </c:ext>
              </c:extLst>
            </c:dLbl>
            <c:spPr>
              <a:noFill/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Overview'!$B$12:$M$12</c:f>
              <c:numCache>
                <c:formatCode>_(* #,##0_);_(* \(#,##0\);_(* "-"_);_(@_)</c:formatCode>
                <c:ptCount val="12"/>
                <c:pt idx="0">
                  <c:v>472.31644</c:v>
                </c:pt>
                <c:pt idx="1">
                  <c:v>868.40377000000001</c:v>
                </c:pt>
                <c:pt idx="2">
                  <c:v>1031.837</c:v>
                </c:pt>
                <c:pt idx="3">
                  <c:v>490.63830000000002</c:v>
                </c:pt>
                <c:pt idx="4">
                  <c:v>1200.69505</c:v>
                </c:pt>
                <c:pt idx="5">
                  <c:v>1217.50317</c:v>
                </c:pt>
                <c:pt idx="6">
                  <c:v>739.96003800000005</c:v>
                </c:pt>
                <c:pt idx="7">
                  <c:v>948.66441999999995</c:v>
                </c:pt>
                <c:pt idx="8">
                  <c:v>1097.0700099999999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2D8-45DB-B2E0-794E6EE802F5}"/>
            </c:ext>
          </c:extLst>
        </c:ser>
        <c:ser>
          <c:idx val="2"/>
          <c:order val="6"/>
          <c:tx>
            <c:strRef>
              <c:f>'2026 Overview'!$A$13</c:f>
              <c:strCache>
                <c:ptCount val="1"/>
                <c:pt idx="0">
                  <c:v>Tech - ISM CS Open order (MKRW)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2773206407535173E-2"/>
                  <c:y val="-2.93501009458590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24-4744-B92B-8F0823305027}"/>
                </c:ext>
              </c:extLst>
            </c:dLbl>
            <c:dLbl>
              <c:idx val="1"/>
              <c:layout>
                <c:manualLayout>
                  <c:x val="-2.4128475409378791E-2"/>
                  <c:y val="3.13067743422495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28-40D7-B6D7-3DDDCDE383CC}"/>
                </c:ext>
              </c:extLst>
            </c:dLbl>
            <c:dLbl>
              <c:idx val="2"/>
              <c:layout>
                <c:manualLayout>
                  <c:x val="-6.1417937405691472E-2"/>
                  <c:y val="-1.369671377473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28-40D7-B6D7-3DDDCDE383CC}"/>
                </c:ext>
              </c:extLst>
            </c:dLbl>
            <c:spPr>
              <a:noFill/>
              <a:ln>
                <a:solidFill>
                  <a:srgbClr val="00B0F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cap="none" spc="0" baseline="0">
                    <a:ln w="0"/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 Overview'!$B$13:$M$13</c:f>
              <c:numCache>
                <c:formatCode>_(* #,##0_);_(* \(#,##0\);_(* "-"_);_(@_)</c:formatCode>
                <c:ptCount val="12"/>
                <c:pt idx="0">
                  <c:v>2346.1297</c:v>
                </c:pt>
                <c:pt idx="1">
                  <c:v>2040.9905699999999</c:v>
                </c:pt>
                <c:pt idx="2">
                  <c:v>3150.58169</c:v>
                </c:pt>
                <c:pt idx="3">
                  <c:v>3081.1586699999998</c:v>
                </c:pt>
                <c:pt idx="4">
                  <c:v>2722.92398</c:v>
                </c:pt>
                <c:pt idx="5">
                  <c:v>2168.1330939999998</c:v>
                </c:pt>
                <c:pt idx="6">
                  <c:v>2702.1455080000001</c:v>
                </c:pt>
                <c:pt idx="7">
                  <c:v>2598.7221479999998</c:v>
                </c:pt>
                <c:pt idx="8">
                  <c:v>1826.7147259999999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88-41B8-9C51-2C1D6693A9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60604096"/>
        <c:axId val="1162407488"/>
      </c:lineChart>
      <c:catAx>
        <c:axId val="1239037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1239038800"/>
        <c:crosses val="autoZero"/>
        <c:auto val="1"/>
        <c:lblAlgn val="ctr"/>
        <c:lblOffset val="100"/>
        <c:noMultiLvlLbl val="0"/>
      </c:catAx>
      <c:valAx>
        <c:axId val="12390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1239037000"/>
        <c:crosses val="autoZero"/>
        <c:crossBetween val="between"/>
      </c:valAx>
      <c:valAx>
        <c:axId val="1162407488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1060604096"/>
        <c:crosses val="max"/>
        <c:crossBetween val="between"/>
      </c:valAx>
      <c:catAx>
        <c:axId val="106060409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62407488"/>
        <c:crosses val="max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Festo Korean" panose="02000503040000020004" pitchFamily="2" charset="-127"/>
          <a:ea typeface="Festo Korean" panose="02000503040000020004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3934769203207"/>
          <c:y val="3.5036675571246956E-2"/>
          <c:w val="0.8368398425581226"/>
          <c:h val="0.746069107428620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 Overview'!$A$30</c:f>
              <c:strCache>
                <c:ptCount val="1"/>
                <c:pt idx="0">
                  <c:v>Order Drawing MH(EA)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Overview'!$B$30:$M$30</c:f>
              <c:numCache>
                <c:formatCode>0</c:formatCode>
                <c:ptCount val="12"/>
                <c:pt idx="0">
                  <c:v>93</c:v>
                </c:pt>
                <c:pt idx="1">
                  <c:v>128</c:v>
                </c:pt>
                <c:pt idx="2">
                  <c:v>257</c:v>
                </c:pt>
                <c:pt idx="3" formatCode="General">
                  <c:v>151</c:v>
                </c:pt>
                <c:pt idx="4" formatCode="General">
                  <c:v>141</c:v>
                </c:pt>
                <c:pt idx="5" formatCode="General">
                  <c:v>235.5</c:v>
                </c:pt>
                <c:pt idx="6" formatCode="General">
                  <c:v>265</c:v>
                </c:pt>
                <c:pt idx="7" formatCode="General">
                  <c:v>206.5</c:v>
                </c:pt>
                <c:pt idx="8" formatCode="General">
                  <c:v>129.5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A-4269-8219-4FC8A996876E}"/>
            </c:ext>
          </c:extLst>
        </c:ser>
        <c:ser>
          <c:idx val="1"/>
          <c:order val="1"/>
          <c:tx>
            <c:strRef>
              <c:f>'2026 Overview'!$A$33</c:f>
              <c:strCache>
                <c:ptCount val="1"/>
                <c:pt idx="0">
                  <c:v>Execution MH(EA)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Overview'!$B$33:$M$33</c:f>
              <c:numCache>
                <c:formatCode>0</c:formatCode>
                <c:ptCount val="12"/>
                <c:pt idx="0">
                  <c:v>128</c:v>
                </c:pt>
                <c:pt idx="1">
                  <c:v>145</c:v>
                </c:pt>
                <c:pt idx="2">
                  <c:v>150</c:v>
                </c:pt>
                <c:pt idx="3">
                  <c:v>169</c:v>
                </c:pt>
                <c:pt idx="4" formatCode="General">
                  <c:v>133</c:v>
                </c:pt>
                <c:pt idx="5" formatCode="General">
                  <c:v>172</c:v>
                </c:pt>
                <c:pt idx="6" formatCode="General">
                  <c:v>145</c:v>
                </c:pt>
                <c:pt idx="7" formatCode="General">
                  <c:v>129</c:v>
                </c:pt>
                <c:pt idx="8" formatCode="General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3A-4269-8219-4FC8A996876E}"/>
            </c:ext>
          </c:extLst>
        </c:ser>
        <c:ser>
          <c:idx val="2"/>
          <c:order val="2"/>
          <c:tx>
            <c:strRef>
              <c:f>'2026 Overview'!$A$38</c:f>
              <c:strCache>
                <c:ptCount val="1"/>
                <c:pt idx="0">
                  <c:v>Total MH(EA)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Overview'!$B$38:$M$38</c:f>
              <c:numCache>
                <c:formatCode>General</c:formatCode>
                <c:ptCount val="12"/>
                <c:pt idx="0">
                  <c:v>247.4</c:v>
                </c:pt>
                <c:pt idx="1">
                  <c:v>314.5</c:v>
                </c:pt>
                <c:pt idx="2">
                  <c:v>482</c:v>
                </c:pt>
                <c:pt idx="3">
                  <c:v>384.70000000000005</c:v>
                </c:pt>
                <c:pt idx="4">
                  <c:v>306</c:v>
                </c:pt>
                <c:pt idx="5">
                  <c:v>469.5</c:v>
                </c:pt>
                <c:pt idx="6">
                  <c:v>492</c:v>
                </c:pt>
                <c:pt idx="7">
                  <c:v>420.5</c:v>
                </c:pt>
                <c:pt idx="8">
                  <c:v>379.5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3A-4269-8219-4FC8A9968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640912"/>
        <c:axId val="525638032"/>
      </c:barChart>
      <c:lineChart>
        <c:grouping val="standard"/>
        <c:varyColors val="0"/>
        <c:ser>
          <c:idx val="3"/>
          <c:order val="3"/>
          <c:tx>
            <c:strRef>
              <c:f>'2026 Overview'!$A$39</c:f>
              <c:strCache>
                <c:ptCount val="1"/>
                <c:pt idx="0">
                  <c:v>MH per Quotation(EA)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Overview'!$B$39:$M$39</c:f>
              <c:numCache>
                <c:formatCode>0.00</c:formatCode>
                <c:ptCount val="12"/>
                <c:pt idx="0">
                  <c:v>0.9739130434782608</c:v>
                </c:pt>
                <c:pt idx="1">
                  <c:v>0.6428571428571429</c:v>
                </c:pt>
                <c:pt idx="2">
                  <c:v>0.8125</c:v>
                </c:pt>
                <c:pt idx="3">
                  <c:v>0.73589743589743628</c:v>
                </c:pt>
                <c:pt idx="4">
                  <c:v>0.6428571428571429</c:v>
                </c:pt>
                <c:pt idx="5">
                  <c:v>1.1818181818181819</c:v>
                </c:pt>
                <c:pt idx="6">
                  <c:v>0.82857142857142863</c:v>
                </c:pt>
                <c:pt idx="7">
                  <c:v>1.0416666666666667</c:v>
                </c:pt>
                <c:pt idx="8">
                  <c:v>1.173913043478261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3A-4269-8219-4FC8A996876E}"/>
            </c:ext>
          </c:extLst>
        </c:ser>
        <c:ser>
          <c:idx val="4"/>
          <c:order val="4"/>
          <c:tx>
            <c:strRef>
              <c:f>'2026 Overview'!$A$40</c:f>
              <c:strCache>
                <c:ptCount val="1"/>
                <c:pt idx="0">
                  <c:v>MH per Order Drawing(EA)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2451745441485963E-2"/>
                  <c:y val="-6.90582927129083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5C-42FE-AE90-B57463D24C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Overview'!$B$40:$M$40</c:f>
              <c:numCache>
                <c:formatCode>0.00</c:formatCode>
                <c:ptCount val="12"/>
                <c:pt idx="0">
                  <c:v>1.2886597938144331</c:v>
                </c:pt>
                <c:pt idx="1">
                  <c:v>0.97435897435897434</c:v>
                </c:pt>
                <c:pt idx="2">
                  <c:v>1.4836601307189543</c:v>
                </c:pt>
                <c:pt idx="3">
                  <c:v>0.88235294117647056</c:v>
                </c:pt>
                <c:pt idx="4">
                  <c:v>0.53048780487804881</c:v>
                </c:pt>
                <c:pt idx="5">
                  <c:v>0.51323828920570269</c:v>
                </c:pt>
                <c:pt idx="6">
                  <c:v>0.9088050314465409</c:v>
                </c:pt>
                <c:pt idx="7">
                  <c:v>0.90431519699812379</c:v>
                </c:pt>
                <c:pt idx="8">
                  <c:v>0.39808153477218228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3A-4269-8219-4FC8A996876E}"/>
            </c:ext>
          </c:extLst>
        </c:ser>
        <c:ser>
          <c:idx val="5"/>
          <c:order val="5"/>
          <c:tx>
            <c:strRef>
              <c:f>'2026 Overview'!$A$41</c:f>
              <c:strCache>
                <c:ptCount val="1"/>
                <c:pt idx="0">
                  <c:v>MH per Execution(EA)</c:v>
                </c:pt>
              </c:strCache>
            </c:strRef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9889779464136535E-2"/>
                  <c:y val="6.0687590565889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5C-42FE-AE90-B57463D24C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 Overview'!$B$19:$M$19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'2026 Overview'!$B$41:$M$41</c:f>
              <c:numCache>
                <c:formatCode>0.00</c:formatCode>
                <c:ptCount val="12"/>
                <c:pt idx="0">
                  <c:v>0.22483102718762168</c:v>
                </c:pt>
                <c:pt idx="1">
                  <c:v>0.15353602410968775</c:v>
                </c:pt>
                <c:pt idx="2">
                  <c:v>0.13347131301069462</c:v>
                </c:pt>
                <c:pt idx="3">
                  <c:v>0.31492347825341571</c:v>
                </c:pt>
                <c:pt idx="4">
                  <c:v>0.1073710595678896</c:v>
                </c:pt>
                <c:pt idx="5">
                  <c:v>0.1315484382343792</c:v>
                </c:pt>
                <c:pt idx="6">
                  <c:v>0.17130164861958905</c:v>
                </c:pt>
                <c:pt idx="7">
                  <c:v>0.1224298719320901</c:v>
                </c:pt>
                <c:pt idx="8">
                  <c:v>0.12205768817602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3A-4269-8219-4FC8A996876E}"/>
            </c:ext>
          </c:extLst>
        </c:ser>
        <c:ser>
          <c:idx val="6"/>
          <c:order val="6"/>
          <c:tx>
            <c:strRef>
              <c:f>'2026 Overview'!$A$27</c:f>
              <c:strCache>
                <c:ptCount val="1"/>
                <c:pt idx="0">
                  <c:v>PJT Workload(%, EA)</c:v>
                </c:pt>
              </c:strCache>
            </c:strRef>
          </c:tx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47000"/>
                </a:schemeClr>
              </a:solidFill>
              <a:ln w="9525">
                <a:solidFill>
                  <a:schemeClr val="accent4">
                    <a:shade val="4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Festo Korean" panose="02000503040000020004" pitchFamily="2" charset="-127"/>
                    <a:ea typeface="Festo Korean" panose="02000503040000020004" pitchFamily="2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'2026 Overview'!$B$27:$M$27</c:f>
              <c:numCache>
                <c:formatCode>0%</c:formatCode>
                <c:ptCount val="12"/>
                <c:pt idx="0">
                  <c:v>0.53864576529501418</c:v>
                </c:pt>
                <c:pt idx="1">
                  <c:v>0.67736377342235621</c:v>
                </c:pt>
                <c:pt idx="2">
                  <c:v>0.71747543911878542</c:v>
                </c:pt>
                <c:pt idx="3">
                  <c:v>0.60024964893119059</c:v>
                </c:pt>
                <c:pt idx="4">
                  <c:v>0.62359894028938256</c:v>
                </c:pt>
                <c:pt idx="5">
                  <c:v>0.69504071058475203</c:v>
                </c:pt>
                <c:pt idx="6">
                  <c:v>0.7326880119136262</c:v>
                </c:pt>
                <c:pt idx="7">
                  <c:v>0.70258980785296576</c:v>
                </c:pt>
                <c:pt idx="8">
                  <c:v>0.66311375152891849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0-4FEE-A36E-B0CF12D5B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626864"/>
        <c:axId val="525643432"/>
      </c:lineChart>
      <c:catAx>
        <c:axId val="52564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525638032"/>
        <c:crosses val="autoZero"/>
        <c:auto val="1"/>
        <c:lblAlgn val="ctr"/>
        <c:lblOffset val="100"/>
        <c:noMultiLvlLbl val="0"/>
      </c:catAx>
      <c:valAx>
        <c:axId val="5256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525640912"/>
        <c:crosses val="autoZero"/>
        <c:crossBetween val="between"/>
      </c:valAx>
      <c:valAx>
        <c:axId val="52564343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  <c:crossAx val="518626864"/>
        <c:crosses val="max"/>
        <c:crossBetween val="between"/>
      </c:valAx>
      <c:catAx>
        <c:axId val="51862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564343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esto Korean" panose="02000503040000020004" pitchFamily="2" charset="-127"/>
                <a:ea typeface="Festo Korean" panose="02000503040000020004" pitchFamily="2" charset="-127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Festo Korean" panose="02000503040000020004" pitchFamily="2" charset="-127"/>
          <a:ea typeface="Festo Korean" panose="02000503040000020004" pitchFamily="2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46</xdr:row>
      <xdr:rowOff>149682</xdr:rowOff>
    </xdr:from>
    <xdr:to>
      <xdr:col>6</xdr:col>
      <xdr:colOff>884465</xdr:colOff>
      <xdr:row>76</xdr:row>
      <xdr:rowOff>68040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CC2497E-A353-42BC-A106-975AEC4C1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1136705</xdr:colOff>
      <xdr:row>46</xdr:row>
      <xdr:rowOff>160082</xdr:rowOff>
    </xdr:from>
    <xdr:to>
      <xdr:col>15</xdr:col>
      <xdr:colOff>212913</xdr:colOff>
      <xdr:row>76</xdr:row>
      <xdr:rowOff>105654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061F090-C634-4B5A-A74E-2BCDB02DE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457838</xdr:colOff>
      <xdr:row>21</xdr:row>
      <xdr:rowOff>76766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FC28CC-E385-CDC8-ABCB-6B9B3DDB3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9100"/>
          <a:ext cx="4572638" cy="405821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17</xdr:col>
      <xdr:colOff>143661</xdr:colOff>
      <xdr:row>24</xdr:row>
      <xdr:rowOff>153065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D183C6B-DBB8-38C2-2A07-1E61A2DED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0" y="419100"/>
          <a:ext cx="5630061" cy="4763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sto-my.sharepoint.com/Users/kr0nkp/AppData/Local/Microsoft/Windows/Temporary%20Internet%20Files/Content.Outlook/1F0QIBNZ/&#48373;&#49324;&#48376;%20Performance%20Management%20Templates%20Pilo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sto-my.sharepoint.com/&#9733;SOYOUNG/3.%20Performance/10.%20Performance%20Mgmt/KPI%20setting%20and%20evaluation%20guide/2018/Success%20Factor_21018%20Excel%20Templat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sto-my.sharepoint.com/000.FESTO/01.KPI%20%20&#44288;&#47144;/02.2016&#45380;/00.EA/SAP_&#44540;&#44144;_DATA/Project_List/HAT_ProjectList_2016_CW2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rmance Appraisal and V "/>
      <sheetName val="Target Agreement"/>
      <sheetName val="Calculation of the Overall PV"/>
      <sheetName val="Definition of the rating scale"/>
      <sheetName val="Sheet1"/>
    </sheetNames>
    <sheetDataSet>
      <sheetData sheetId="0"/>
      <sheetData sheetId="1">
        <row r="13">
          <cell r="T13" t="str">
            <v>red</v>
          </cell>
        </row>
        <row r="14">
          <cell r="T14" t="str">
            <v>yellow</v>
          </cell>
        </row>
        <row r="15">
          <cell r="T15" t="str">
            <v>green</v>
          </cell>
        </row>
      </sheetData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ves(목표)"/>
      <sheetName val="Detail (개인목표 세부사항)"/>
      <sheetName val="Competences(역량평가)"/>
      <sheetName val="Calc. Perf Value for Talent Mgm"/>
      <sheetName val="Calc Perf Value for Talent Mgm"/>
      <sheetName val="Conversion Table for TM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T_ProjectProposed"/>
      <sheetName val="HAT_ProjectExecuted"/>
      <sheetName val="Potential_Turnover_2012-2016_16"/>
      <sheetName val="DropList"/>
      <sheetName val="Sheet1"/>
    </sheetNames>
    <sheetDataSet>
      <sheetData sheetId="0" refreshError="1"/>
      <sheetData sheetId="1" refreshError="1"/>
      <sheetData sheetId="2"/>
      <sheetData sheetId="3">
        <row r="2">
          <cell r="A2" t="str">
            <v>Internal</v>
          </cell>
          <cell r="B2" t="str">
            <v>N.C.</v>
          </cell>
          <cell r="C2" t="str">
            <v>-</v>
          </cell>
        </row>
        <row r="3">
          <cell r="A3" t="str">
            <v>ELA</v>
          </cell>
          <cell r="B3">
            <v>5</v>
          </cell>
          <cell r="C3" t="str">
            <v>Financial risk for Festo too high.</v>
          </cell>
        </row>
        <row r="4">
          <cell r="A4" t="str">
            <v>AMI</v>
          </cell>
          <cell r="B4">
            <v>6</v>
          </cell>
          <cell r="C4" t="str">
            <v>Requested technology not in the range of Festo.</v>
          </cell>
        </row>
        <row r="5">
          <cell r="A5" t="str">
            <v>GS</v>
          </cell>
          <cell r="B5">
            <v>8</v>
          </cell>
          <cell r="C5" t="str">
            <v>Requested price not possible for Festo.</v>
          </cell>
        </row>
        <row r="6">
          <cell r="A6" t="str">
            <v>EA</v>
          </cell>
          <cell r="B6">
            <v>10</v>
          </cell>
          <cell r="C6" t="str">
            <v>Requested delivery time not feasible for Festo.</v>
          </cell>
        </row>
        <row r="7">
          <cell r="B7">
            <v>11</v>
          </cell>
          <cell r="C7" t="str">
            <v>Order went to competitor for price reasons.</v>
          </cell>
        </row>
        <row r="8">
          <cell r="B8">
            <v>12</v>
          </cell>
          <cell r="C8" t="str">
            <v>Order went to competitor for technical reasons.</v>
          </cell>
        </row>
        <row r="9">
          <cell r="B9">
            <v>13</v>
          </cell>
          <cell r="C9" t="str">
            <v>Order went to competitor for service reasons.</v>
          </cell>
        </row>
        <row r="10">
          <cell r="C10" t="str">
            <v>Customer has cancelled the project.</v>
          </cell>
        </row>
        <row r="11">
          <cell r="C11" t="str">
            <v>Customer has changed the project</v>
          </cell>
        </row>
        <row r="12">
          <cell r="C12" t="str">
            <v>Order went to competitor for personal relations.</v>
          </cell>
        </row>
        <row r="13">
          <cell r="C13" t="str">
            <v>Festo internal reasons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9E31-452B-4C98-A3B4-3DFF74E3AE27}">
  <sheetPr>
    <tabColor rgb="FF92D050"/>
  </sheetPr>
  <dimension ref="A2:P46"/>
  <sheetViews>
    <sheetView tabSelected="1" topLeftCell="A6" zoomScale="85" zoomScaleNormal="85" workbookViewId="0">
      <selection activeCell="K23" sqref="K23"/>
    </sheetView>
  </sheetViews>
  <sheetFormatPr defaultRowHeight="16.5" x14ac:dyDescent="0.3"/>
  <cols>
    <col min="1" max="1" width="34" customWidth="1"/>
    <col min="2" max="13" width="15.625" customWidth="1"/>
    <col min="14" max="14" width="19.25" customWidth="1"/>
    <col min="15" max="15" width="22.125" bestFit="1" customWidth="1"/>
    <col min="16" max="16" width="10.875" bestFit="1" customWidth="1"/>
    <col min="17" max="17" width="22.125" bestFit="1" customWidth="1"/>
    <col min="18" max="18" width="18.125" bestFit="1" customWidth="1"/>
    <col min="19" max="19" width="22.125" bestFit="1" customWidth="1"/>
    <col min="20" max="20" width="18.875" bestFit="1" customWidth="1"/>
    <col min="21" max="21" width="22.125" bestFit="1" customWidth="1"/>
    <col min="22" max="22" width="10.875" bestFit="1" customWidth="1"/>
    <col min="23" max="23" width="22.125" bestFit="1" customWidth="1"/>
    <col min="24" max="24" width="11.375" bestFit="1" customWidth="1"/>
    <col min="25" max="25" width="22.125" bestFit="1" customWidth="1"/>
    <col min="26" max="26" width="15.625" bestFit="1" customWidth="1"/>
    <col min="27" max="27" width="26.875" bestFit="1" customWidth="1"/>
  </cols>
  <sheetData>
    <row r="2" spans="1:14" x14ac:dyDescent="0.3">
      <c r="A2" s="16" t="s">
        <v>20</v>
      </c>
      <c r="B2" s="16" t="s">
        <v>2</v>
      </c>
      <c r="C2" s="16" t="s">
        <v>0</v>
      </c>
      <c r="D2" s="16" t="s">
        <v>3</v>
      </c>
      <c r="E2" s="16" t="s">
        <v>4</v>
      </c>
      <c r="F2" s="16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6" t="s">
        <v>11</v>
      </c>
      <c r="M2" s="16" t="s">
        <v>12</v>
      </c>
      <c r="N2" s="17" t="s">
        <v>1</v>
      </c>
    </row>
    <row r="3" spans="1:14" x14ac:dyDescent="0.3">
      <c r="A3" s="18" t="s">
        <v>14</v>
      </c>
      <c r="B3" s="36">
        <v>931428770</v>
      </c>
      <c r="C3" s="36">
        <v>139539820.28999999</v>
      </c>
      <c r="D3" s="36">
        <v>659381470</v>
      </c>
      <c r="E3" s="36">
        <v>672906171</v>
      </c>
      <c r="F3" s="36">
        <v>492832690</v>
      </c>
      <c r="G3" s="36">
        <v>694351860</v>
      </c>
      <c r="H3" s="36">
        <v>769825480</v>
      </c>
      <c r="I3" s="36">
        <v>254617060</v>
      </c>
      <c r="J3" s="36">
        <v>319255820</v>
      </c>
      <c r="K3" s="36"/>
      <c r="L3" s="36"/>
      <c r="M3" s="36"/>
      <c r="N3" s="68">
        <f t="shared" ref="N3:N8" si="0">SUM(B3:M3)</f>
        <v>4934139141.29</v>
      </c>
    </row>
    <row r="4" spans="1:14" x14ac:dyDescent="0.3">
      <c r="A4" s="18" t="s">
        <v>23</v>
      </c>
      <c r="B4" s="36">
        <v>979486030</v>
      </c>
      <c r="C4" s="36">
        <v>2767789920</v>
      </c>
      <c r="D4" s="36">
        <v>2747098610</v>
      </c>
      <c r="E4" s="36">
        <v>2092932937</v>
      </c>
      <c r="F4" s="36">
        <v>2359640798</v>
      </c>
      <c r="G4" s="36">
        <v>2334161880</v>
      </c>
      <c r="H4" s="36">
        <v>2448388688</v>
      </c>
      <c r="I4" s="36">
        <v>2501783334</v>
      </c>
      <c r="J4" s="36">
        <v>2726836370</v>
      </c>
      <c r="K4" s="36">
        <v>3726836370</v>
      </c>
      <c r="L4" s="36"/>
      <c r="M4" s="36"/>
      <c r="N4" s="68">
        <f t="shared" si="0"/>
        <v>24684954937</v>
      </c>
    </row>
    <row r="5" spans="1:14" x14ac:dyDescent="0.3">
      <c r="A5" s="18" t="s">
        <v>16</v>
      </c>
      <c r="B5" s="36">
        <v>472316440</v>
      </c>
      <c r="C5" s="36">
        <v>868403770</v>
      </c>
      <c r="D5" s="36">
        <v>1031837000</v>
      </c>
      <c r="E5" s="36">
        <v>490638300</v>
      </c>
      <c r="F5" s="36">
        <v>1200695050</v>
      </c>
      <c r="G5" s="36">
        <v>1217503170</v>
      </c>
      <c r="H5" s="36">
        <v>739960038</v>
      </c>
      <c r="I5" s="36">
        <v>948664420</v>
      </c>
      <c r="J5" s="36">
        <v>1097070010</v>
      </c>
      <c r="K5" s="36"/>
      <c r="L5" s="36"/>
      <c r="M5" s="36"/>
      <c r="N5" s="68">
        <f t="shared" si="0"/>
        <v>8067088198</v>
      </c>
    </row>
    <row r="6" spans="1:14" x14ac:dyDescent="0.3">
      <c r="A6" s="18" t="s">
        <v>18</v>
      </c>
      <c r="B6" s="36">
        <v>2346129700</v>
      </c>
      <c r="C6" s="36">
        <v>2040990570</v>
      </c>
      <c r="D6" s="36">
        <v>3150581690</v>
      </c>
      <c r="E6" s="36">
        <v>3081158670</v>
      </c>
      <c r="F6" s="36">
        <v>2722923980</v>
      </c>
      <c r="G6" s="36">
        <v>2168133094</v>
      </c>
      <c r="H6" s="36">
        <v>2702145508</v>
      </c>
      <c r="I6" s="36">
        <v>2598722148</v>
      </c>
      <c r="J6" s="36">
        <v>1826714726</v>
      </c>
      <c r="K6" s="36"/>
      <c r="L6" s="36"/>
      <c r="M6" s="36"/>
      <c r="N6" s="68">
        <f t="shared" si="0"/>
        <v>22637500086</v>
      </c>
    </row>
    <row r="7" spans="1:14" x14ac:dyDescent="0.3">
      <c r="A7" s="18" t="s">
        <v>13</v>
      </c>
      <c r="B7" s="36">
        <v>705641582</v>
      </c>
      <c r="C7" s="36">
        <v>1350749095</v>
      </c>
      <c r="D7" s="36">
        <v>1002947859</v>
      </c>
      <c r="E7" s="36">
        <v>911013644</v>
      </c>
      <c r="F7" s="36">
        <v>1423710682</v>
      </c>
      <c r="G7" s="36">
        <v>1692040095</v>
      </c>
      <c r="H7" s="36">
        <v>1221596285</v>
      </c>
      <c r="I7" s="36">
        <v>720329074</v>
      </c>
      <c r="J7" s="36">
        <v>1460357267</v>
      </c>
      <c r="K7" s="36"/>
      <c r="L7" s="36"/>
      <c r="M7" s="36"/>
      <c r="N7" s="68">
        <f t="shared" si="0"/>
        <v>10488385583</v>
      </c>
    </row>
    <row r="8" spans="1:14" x14ac:dyDescent="0.3">
      <c r="A8" s="18" t="s">
        <v>17</v>
      </c>
      <c r="B8" s="36">
        <v>44356220</v>
      </c>
      <c r="C8" s="36">
        <v>458328820</v>
      </c>
      <c r="D8" s="37">
        <v>154255440</v>
      </c>
      <c r="E8" s="36">
        <v>68650720</v>
      </c>
      <c r="F8" s="36">
        <v>655142230</v>
      </c>
      <c r="G8" s="36">
        <v>797066100</v>
      </c>
      <c r="H8" s="36">
        <v>298680620</v>
      </c>
      <c r="I8" s="36">
        <v>104364530</v>
      </c>
      <c r="J8" s="36">
        <v>447481910</v>
      </c>
      <c r="K8" s="36"/>
      <c r="L8" s="36"/>
      <c r="M8" s="36"/>
      <c r="N8" s="68">
        <f t="shared" si="0"/>
        <v>3028326590</v>
      </c>
    </row>
    <row r="9" spans="1:14" x14ac:dyDescent="0.3">
      <c r="A9" s="1"/>
      <c r="B9" s="5"/>
      <c r="C9" s="5"/>
      <c r="D9" s="6"/>
      <c r="E9" s="3"/>
      <c r="F9" s="3"/>
      <c r="G9" s="3"/>
      <c r="H9" s="3"/>
      <c r="I9" s="3"/>
      <c r="J9" s="4"/>
      <c r="K9" s="7"/>
      <c r="L9" s="7"/>
      <c r="M9" s="4"/>
      <c r="N9" s="2"/>
    </row>
    <row r="10" spans="1:14" x14ac:dyDescent="0.3">
      <c r="A10" s="16" t="s">
        <v>21</v>
      </c>
      <c r="B10" s="16" t="s">
        <v>2</v>
      </c>
      <c r="C10" s="16" t="s">
        <v>0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6" t="s">
        <v>8</v>
      </c>
      <c r="J10" s="16" t="s">
        <v>9</v>
      </c>
      <c r="K10" s="16" t="s">
        <v>10</v>
      </c>
      <c r="L10" s="16" t="s">
        <v>11</v>
      </c>
      <c r="M10" s="16" t="s">
        <v>12</v>
      </c>
      <c r="N10" s="17" t="s">
        <v>1</v>
      </c>
    </row>
    <row r="11" spans="1:14" x14ac:dyDescent="0.3">
      <c r="A11" s="15" t="s">
        <v>15</v>
      </c>
      <c r="B11" s="23">
        <f t="shared" ref="B11:E11" si="1">B4/1000000</f>
        <v>979.48603000000003</v>
      </c>
      <c r="C11" s="23">
        <f t="shared" si="1"/>
        <v>2767.7899200000002</v>
      </c>
      <c r="D11" s="23">
        <f t="shared" si="1"/>
        <v>2747.09861</v>
      </c>
      <c r="E11" s="23">
        <f t="shared" si="1"/>
        <v>2092.932937</v>
      </c>
      <c r="F11" s="23">
        <f t="shared" ref="F11" si="2">F4/1000000</f>
        <v>2359.6407979999999</v>
      </c>
      <c r="G11" s="23">
        <f t="shared" ref="G11:H11" si="3">G4/1000000</f>
        <v>2334.1618800000001</v>
      </c>
      <c r="H11" s="23">
        <f t="shared" si="3"/>
        <v>2448.388688</v>
      </c>
      <c r="I11" s="70">
        <f t="shared" ref="I11:K11" si="4">I4/1000000</f>
        <v>2501.7833340000002</v>
      </c>
      <c r="J11" s="70">
        <f t="shared" si="4"/>
        <v>2726.83637</v>
      </c>
      <c r="K11" s="70">
        <f t="shared" si="4"/>
        <v>3726.83637</v>
      </c>
      <c r="L11" s="23"/>
      <c r="M11" s="23"/>
      <c r="N11" s="69">
        <f t="shared" ref="N11:N16" si="5">SUM(B11:M11)</f>
        <v>24684.954937000002</v>
      </c>
    </row>
    <row r="12" spans="1:14" x14ac:dyDescent="0.3">
      <c r="A12" s="15" t="s">
        <v>36</v>
      </c>
      <c r="B12" s="23">
        <f t="shared" ref="B12:E12" si="6">B5/1000000</f>
        <v>472.31644</v>
      </c>
      <c r="C12" s="23">
        <f t="shared" si="6"/>
        <v>868.40377000000001</v>
      </c>
      <c r="D12" s="23">
        <f t="shared" si="6"/>
        <v>1031.837</v>
      </c>
      <c r="E12" s="23">
        <f t="shared" si="6"/>
        <v>490.63830000000002</v>
      </c>
      <c r="F12" s="23">
        <f t="shared" ref="F12" si="7">F5/1000000</f>
        <v>1200.69505</v>
      </c>
      <c r="G12" s="23">
        <f t="shared" ref="G12:H12" si="8">G5/1000000</f>
        <v>1217.50317</v>
      </c>
      <c r="H12" s="23">
        <f t="shared" si="8"/>
        <v>739.96003800000005</v>
      </c>
      <c r="I12" s="23">
        <f t="shared" ref="I12:J12" si="9">I5/1000000</f>
        <v>948.66441999999995</v>
      </c>
      <c r="J12" s="23">
        <f t="shared" si="9"/>
        <v>1097.0700099999999</v>
      </c>
      <c r="K12" s="23">
        <f>K5/1000000</f>
        <v>0</v>
      </c>
      <c r="L12" s="23"/>
      <c r="M12" s="23"/>
      <c r="N12" s="62">
        <f t="shared" si="5"/>
        <v>8067.0881979999995</v>
      </c>
    </row>
    <row r="13" spans="1:14" x14ac:dyDescent="0.3">
      <c r="A13" s="15" t="s">
        <v>35</v>
      </c>
      <c r="B13" s="23">
        <f>B6/1000000</f>
        <v>2346.1297</v>
      </c>
      <c r="C13" s="23">
        <f t="shared" ref="C13:E13" si="10">C6/1000000</f>
        <v>2040.9905699999999</v>
      </c>
      <c r="D13" s="23">
        <f t="shared" si="10"/>
        <v>3150.58169</v>
      </c>
      <c r="E13" s="23">
        <f t="shared" si="10"/>
        <v>3081.1586699999998</v>
      </c>
      <c r="F13" s="23">
        <f t="shared" ref="F13" si="11">F6/1000000</f>
        <v>2722.92398</v>
      </c>
      <c r="G13" s="23">
        <f t="shared" ref="G13:H13" si="12">G6/1000000</f>
        <v>2168.1330939999998</v>
      </c>
      <c r="H13" s="23">
        <f t="shared" si="12"/>
        <v>2702.1455080000001</v>
      </c>
      <c r="I13" s="23">
        <f t="shared" ref="I13:J13" si="13">I6/1000000</f>
        <v>2598.7221479999998</v>
      </c>
      <c r="J13" s="23">
        <f t="shared" si="13"/>
        <v>1826.7147259999999</v>
      </c>
      <c r="K13" s="23"/>
      <c r="L13" s="23"/>
      <c r="M13" s="23"/>
      <c r="N13" s="62">
        <f t="shared" si="5"/>
        <v>22637.500086</v>
      </c>
    </row>
    <row r="14" spans="1:14" x14ac:dyDescent="0.3">
      <c r="A14" s="15" t="s">
        <v>37</v>
      </c>
      <c r="B14" s="24">
        <f>B3/1000000</f>
        <v>931.42876999999999</v>
      </c>
      <c r="C14" s="24">
        <f t="shared" ref="C14:E14" si="14">C3/1000000</f>
        <v>139.53982028999999</v>
      </c>
      <c r="D14" s="24">
        <f t="shared" si="14"/>
        <v>659.38147000000004</v>
      </c>
      <c r="E14" s="24">
        <f t="shared" si="14"/>
        <v>672.90617099999997</v>
      </c>
      <c r="F14" s="24">
        <f t="shared" ref="F14" si="15">F3/1000000</f>
        <v>492.83269000000001</v>
      </c>
      <c r="G14" s="24">
        <f t="shared" ref="G14:H14" si="16">G3/1000000</f>
        <v>694.35185999999999</v>
      </c>
      <c r="H14" s="24">
        <f t="shared" si="16"/>
        <v>769.82547999999997</v>
      </c>
      <c r="I14" s="24">
        <f t="shared" ref="I14:J14" si="17">I3/1000000</f>
        <v>254.61706000000001</v>
      </c>
      <c r="J14" s="24">
        <f t="shared" si="17"/>
        <v>319.25582000000003</v>
      </c>
      <c r="K14" s="23"/>
      <c r="L14" s="23"/>
      <c r="M14" s="23"/>
      <c r="N14" s="62">
        <f t="shared" si="5"/>
        <v>4934.1391412900002</v>
      </c>
    </row>
    <row r="15" spans="1:14" x14ac:dyDescent="0.3">
      <c r="A15" s="15" t="s">
        <v>19</v>
      </c>
      <c r="B15" s="24">
        <v>604</v>
      </c>
      <c r="C15" s="24">
        <v>664</v>
      </c>
      <c r="D15" s="24">
        <v>807</v>
      </c>
      <c r="E15" s="23">
        <f t="shared" ref="E15:F15" si="18">E7/1000000</f>
        <v>911.013644</v>
      </c>
      <c r="F15" s="23">
        <f t="shared" si="18"/>
        <v>1423.7106819999999</v>
      </c>
      <c r="G15" s="23">
        <f t="shared" ref="G15:H15" si="19">G7/1000000</f>
        <v>1692.0400950000001</v>
      </c>
      <c r="H15" s="23">
        <f t="shared" si="19"/>
        <v>1221.5962850000001</v>
      </c>
      <c r="I15" s="23">
        <f t="shared" ref="I15:J15" si="20">I7/1000000</f>
        <v>720.32907399999999</v>
      </c>
      <c r="J15" s="23">
        <f t="shared" si="20"/>
        <v>1460.3572670000001</v>
      </c>
      <c r="K15" s="23"/>
      <c r="L15" s="23"/>
      <c r="M15" s="23"/>
      <c r="N15" s="62">
        <f t="shared" si="5"/>
        <v>9504.047047</v>
      </c>
    </row>
    <row r="16" spans="1:14" x14ac:dyDescent="0.3">
      <c r="A16" s="15" t="s">
        <v>17</v>
      </c>
      <c r="B16" s="24">
        <f>B8/1000000</f>
        <v>44.35622</v>
      </c>
      <c r="C16" s="24">
        <f t="shared" ref="C16:E16" si="21">C8/1000000</f>
        <v>458.32882000000001</v>
      </c>
      <c r="D16" s="24">
        <f t="shared" si="21"/>
        <v>154.25543999999999</v>
      </c>
      <c r="E16" s="23">
        <f t="shared" si="21"/>
        <v>68.650720000000007</v>
      </c>
      <c r="F16" s="23">
        <f t="shared" ref="F16" si="22">F8/1000000</f>
        <v>655.14223000000004</v>
      </c>
      <c r="G16" s="23">
        <f t="shared" ref="G16:H16" si="23">G8/1000000</f>
        <v>797.06610000000001</v>
      </c>
      <c r="H16" s="23">
        <f t="shared" si="23"/>
        <v>298.68061999999998</v>
      </c>
      <c r="I16" s="23">
        <f t="shared" ref="I16:J16" si="24">I8/1000000</f>
        <v>104.36453</v>
      </c>
      <c r="J16" s="23">
        <f t="shared" si="24"/>
        <v>447.48191000000003</v>
      </c>
      <c r="K16" s="23"/>
      <c r="L16" s="23"/>
      <c r="M16" s="23"/>
      <c r="N16" s="62">
        <f t="shared" si="5"/>
        <v>3028.3265900000001</v>
      </c>
    </row>
    <row r="18" spans="1:16" ht="21.75" customHeight="1" x14ac:dyDescent="0.3">
      <c r="A18" s="74" t="s">
        <v>32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</row>
    <row r="19" spans="1:16" x14ac:dyDescent="0.3">
      <c r="A19" s="16"/>
      <c r="B19" s="16" t="s">
        <v>2</v>
      </c>
      <c r="C19" s="16" t="s">
        <v>0</v>
      </c>
      <c r="D19" s="16" t="s">
        <v>3</v>
      </c>
      <c r="E19" s="16" t="s">
        <v>4</v>
      </c>
      <c r="F19" s="16" t="s">
        <v>5</v>
      </c>
      <c r="G19" s="16" t="s">
        <v>6</v>
      </c>
      <c r="H19" s="16" t="s">
        <v>7</v>
      </c>
      <c r="I19" s="16" t="s">
        <v>8</v>
      </c>
      <c r="J19" s="16" t="s">
        <v>9</v>
      </c>
      <c r="K19" s="16" t="s">
        <v>10</v>
      </c>
      <c r="L19" s="16" t="s">
        <v>11</v>
      </c>
      <c r="M19" s="16" t="s">
        <v>12</v>
      </c>
      <c r="N19" s="17" t="s">
        <v>1</v>
      </c>
    </row>
    <row r="20" spans="1:16" x14ac:dyDescent="0.3">
      <c r="A20" s="20" t="s">
        <v>34</v>
      </c>
      <c r="B20" s="57">
        <f>SUM(B21:B22)</f>
        <v>125</v>
      </c>
      <c r="C20" s="57">
        <f>SUM(C21:C22)</f>
        <v>152</v>
      </c>
      <c r="D20" s="57">
        <f>SUM(D21:D22)</f>
        <v>454</v>
      </c>
      <c r="E20" s="57">
        <f>SUM(E21:E22)</f>
        <v>165</v>
      </c>
      <c r="F20" s="57">
        <f>SUM(F21:F22)</f>
        <v>87</v>
      </c>
      <c r="G20" s="57">
        <f>SUM(G21:G23)</f>
        <v>135</v>
      </c>
      <c r="H20" s="57">
        <f>SUM(H21:H23)</f>
        <v>291</v>
      </c>
      <c r="I20" s="57">
        <f>SUM(I21:I23)</f>
        <v>241</v>
      </c>
      <c r="J20" s="57">
        <f>SUM(J21:J23)</f>
        <v>83</v>
      </c>
      <c r="K20" s="51"/>
      <c r="L20" s="51"/>
      <c r="M20" s="58"/>
      <c r="N20" s="53">
        <f>SUM(B20:M20)</f>
        <v>1733</v>
      </c>
    </row>
    <row r="21" spans="1:16" x14ac:dyDescent="0.3">
      <c r="A21" s="25" t="s">
        <v>54</v>
      </c>
      <c r="B21" s="18">
        <v>91</v>
      </c>
      <c r="C21" s="18">
        <v>146</v>
      </c>
      <c r="D21" s="18">
        <v>211</v>
      </c>
      <c r="E21" s="19">
        <v>115</v>
      </c>
      <c r="F21" s="19">
        <v>61</v>
      </c>
      <c r="G21" s="19">
        <v>90</v>
      </c>
      <c r="H21" s="19">
        <v>179</v>
      </c>
      <c r="I21" s="19">
        <v>162</v>
      </c>
      <c r="J21" s="19">
        <v>19</v>
      </c>
      <c r="K21" s="19">
        <v>21</v>
      </c>
      <c r="L21" s="19"/>
      <c r="M21" s="19"/>
      <c r="N21" s="35">
        <f>SUM(B21:M21)</f>
        <v>1095</v>
      </c>
    </row>
    <row r="22" spans="1:16" x14ac:dyDescent="0.3">
      <c r="A22" s="25" t="s">
        <v>55</v>
      </c>
      <c r="B22" s="18">
        <v>34</v>
      </c>
      <c r="C22" s="18">
        <v>6</v>
      </c>
      <c r="D22" s="18">
        <v>243</v>
      </c>
      <c r="E22" s="19">
        <v>50</v>
      </c>
      <c r="F22" s="19">
        <v>26</v>
      </c>
      <c r="G22" s="19">
        <v>36</v>
      </c>
      <c r="H22" s="19">
        <v>110</v>
      </c>
      <c r="I22" s="19">
        <v>79</v>
      </c>
      <c r="J22" s="19">
        <v>64</v>
      </c>
      <c r="K22" s="19">
        <v>22</v>
      </c>
      <c r="L22" s="19"/>
      <c r="M22" s="19"/>
      <c r="N22" s="35">
        <f t="shared" ref="N22:N23" si="25">SUM(B22:M22)</f>
        <v>670</v>
      </c>
    </row>
    <row r="23" spans="1:16" ht="13.5" customHeight="1" x14ac:dyDescent="0.3">
      <c r="A23" s="26" t="s">
        <v>46</v>
      </c>
      <c r="B23" s="18"/>
      <c r="C23" s="18"/>
      <c r="D23" s="18"/>
      <c r="E23" s="19"/>
      <c r="F23" s="19"/>
      <c r="G23" s="19">
        <v>9</v>
      </c>
      <c r="H23" s="19">
        <v>2</v>
      </c>
      <c r="I23" s="19">
        <v>0</v>
      </c>
      <c r="J23" s="19">
        <v>0</v>
      </c>
      <c r="K23" s="19"/>
      <c r="L23" s="19"/>
      <c r="M23" s="19"/>
      <c r="N23" s="35">
        <f t="shared" si="25"/>
        <v>11</v>
      </c>
    </row>
    <row r="24" spans="1:16" x14ac:dyDescent="0.3">
      <c r="A24" s="59" t="s">
        <v>49</v>
      </c>
      <c r="B24" s="60">
        <v>23</v>
      </c>
      <c r="C24" s="60">
        <v>21</v>
      </c>
      <c r="D24" s="60">
        <v>32</v>
      </c>
      <c r="E24" s="60">
        <v>39</v>
      </c>
      <c r="F24" s="60">
        <v>14</v>
      </c>
      <c r="G24" s="61">
        <v>44</v>
      </c>
      <c r="H24" s="61">
        <v>35</v>
      </c>
      <c r="I24" s="61">
        <v>24</v>
      </c>
      <c r="J24" s="61">
        <v>23</v>
      </c>
      <c r="K24" s="61"/>
      <c r="L24" s="61"/>
      <c r="M24" s="61"/>
      <c r="N24" s="63">
        <f>SUM(B24:M24)</f>
        <v>255</v>
      </c>
    </row>
    <row r="25" spans="1:16" x14ac:dyDescent="0.3">
      <c r="A25" s="20" t="s">
        <v>27</v>
      </c>
      <c r="B25" s="48">
        <f t="shared" ref="B25:G25" si="26">SUM(B28:B37)</f>
        <v>709.8</v>
      </c>
      <c r="C25" s="48">
        <f t="shared" si="26"/>
        <v>807.2</v>
      </c>
      <c r="D25" s="48">
        <f t="shared" si="26"/>
        <v>907.3</v>
      </c>
      <c r="E25" s="48">
        <f t="shared" si="26"/>
        <v>870.4</v>
      </c>
      <c r="F25" s="49">
        <f t="shared" si="26"/>
        <v>835.7</v>
      </c>
      <c r="G25" s="49">
        <f t="shared" si="26"/>
        <v>881</v>
      </c>
      <c r="H25" s="49">
        <f t="shared" ref="H25:I25" si="27">SUM(H28:H37)</f>
        <v>936.5</v>
      </c>
      <c r="I25" s="49">
        <f t="shared" si="27"/>
        <v>845</v>
      </c>
      <c r="J25" s="49">
        <f t="shared" ref="J25" si="28">SUM(J28:J37)</f>
        <v>886.8</v>
      </c>
      <c r="K25" s="50"/>
      <c r="L25" s="51"/>
      <c r="M25" s="52"/>
      <c r="N25" s="64">
        <f t="shared" ref="N25:N38" si="29">SUM(B25:M25)</f>
        <v>7679.7000000000007</v>
      </c>
      <c r="O25" s="14" t="s">
        <v>28</v>
      </c>
    </row>
    <row r="26" spans="1:16" x14ac:dyDescent="0.3">
      <c r="A26" s="20" t="s">
        <v>33</v>
      </c>
      <c r="B26" s="54">
        <f>SUM(B28:B35)</f>
        <v>459.3</v>
      </c>
      <c r="C26" s="54">
        <f t="shared" ref="C26:G26" si="30">SUM(C28:C35)</f>
        <v>464.3</v>
      </c>
      <c r="D26" s="54">
        <f t="shared" si="30"/>
        <v>671.8</v>
      </c>
      <c r="E26" s="54">
        <f t="shared" si="30"/>
        <v>640.9</v>
      </c>
      <c r="F26" s="55">
        <f t="shared" si="30"/>
        <v>490.7</v>
      </c>
      <c r="G26" s="55">
        <f t="shared" si="30"/>
        <v>675.5</v>
      </c>
      <c r="H26" s="55">
        <f t="shared" ref="H26:I26" si="31">SUM(H28:H35)</f>
        <v>671.5</v>
      </c>
      <c r="I26" s="55">
        <f t="shared" si="31"/>
        <v>598.5</v>
      </c>
      <c r="J26" s="55">
        <f t="shared" ref="J26" si="32">SUM(J28:J35)</f>
        <v>572.29999999999995</v>
      </c>
      <c r="K26" s="71"/>
      <c r="L26" s="72"/>
      <c r="M26" s="71"/>
      <c r="N26" s="65">
        <f>SUM(B26:M26)</f>
        <v>5244.8</v>
      </c>
      <c r="O26" s="14"/>
    </row>
    <row r="27" spans="1:16" x14ac:dyDescent="0.3">
      <c r="A27" s="20" t="s">
        <v>50</v>
      </c>
      <c r="B27" s="56">
        <f>B38/B26</f>
        <v>0.53864576529501418</v>
      </c>
      <c r="C27" s="56">
        <f t="shared" ref="C27:G27" si="33">C38/C26</f>
        <v>0.67736377342235621</v>
      </c>
      <c r="D27" s="56">
        <f t="shared" si="33"/>
        <v>0.71747543911878542</v>
      </c>
      <c r="E27" s="56">
        <f t="shared" si="33"/>
        <v>0.60024964893119059</v>
      </c>
      <c r="F27" s="56">
        <f t="shared" si="33"/>
        <v>0.62359894028938256</v>
      </c>
      <c r="G27" s="56">
        <f t="shared" si="33"/>
        <v>0.69504071058475203</v>
      </c>
      <c r="H27" s="56">
        <f t="shared" ref="H27:I27" si="34">H38/H26</f>
        <v>0.7326880119136262</v>
      </c>
      <c r="I27" s="56">
        <f t="shared" si="34"/>
        <v>0.70258980785296576</v>
      </c>
      <c r="J27" s="56">
        <f t="shared" ref="J27" si="35">J38/J26</f>
        <v>0.66311375152891849</v>
      </c>
      <c r="K27" s="50"/>
      <c r="L27" s="51"/>
      <c r="M27" s="52"/>
      <c r="N27" s="66"/>
      <c r="O27" s="14"/>
    </row>
    <row r="28" spans="1:16" x14ac:dyDescent="0.3">
      <c r="A28" s="25" t="s">
        <v>42</v>
      </c>
      <c r="B28" s="21">
        <v>22.4</v>
      </c>
      <c r="C28" s="21">
        <v>13.5</v>
      </c>
      <c r="D28" s="21">
        <v>26</v>
      </c>
      <c r="E28" s="18">
        <v>28.700000000000017</v>
      </c>
      <c r="F28" s="18">
        <v>9</v>
      </c>
      <c r="G28" s="18">
        <v>52</v>
      </c>
      <c r="H28" s="18">
        <v>29</v>
      </c>
      <c r="I28" s="18">
        <v>25</v>
      </c>
      <c r="J28" s="18">
        <v>27</v>
      </c>
      <c r="K28" s="18"/>
      <c r="L28" s="28"/>
      <c r="M28" s="30"/>
      <c r="N28" s="35">
        <f t="shared" si="29"/>
        <v>232.60000000000002</v>
      </c>
      <c r="O28" s="75" t="s">
        <v>24</v>
      </c>
    </row>
    <row r="29" spans="1:16" x14ac:dyDescent="0.3">
      <c r="A29" s="25" t="s">
        <v>43</v>
      </c>
      <c r="B29" s="44">
        <v>1.6</v>
      </c>
      <c r="C29" s="44">
        <v>0.5</v>
      </c>
      <c r="D29" s="44">
        <v>1</v>
      </c>
      <c r="E29" s="44">
        <v>1.7</v>
      </c>
      <c r="F29" s="18">
        <v>0.2</v>
      </c>
      <c r="G29" s="18">
        <v>1.5</v>
      </c>
      <c r="H29" s="18">
        <v>2</v>
      </c>
      <c r="I29" s="18">
        <v>2</v>
      </c>
      <c r="J29" s="18">
        <v>2.6</v>
      </c>
      <c r="K29" s="18"/>
      <c r="L29" s="28"/>
      <c r="M29" s="30"/>
      <c r="N29" s="67">
        <f>SUM(B29:M29)</f>
        <v>13.1</v>
      </c>
      <c r="O29" s="76"/>
    </row>
    <row r="30" spans="1:16" x14ac:dyDescent="0.3">
      <c r="A30" s="38" t="s">
        <v>56</v>
      </c>
      <c r="B30" s="40">
        <v>93</v>
      </c>
      <c r="C30" s="40">
        <v>128</v>
      </c>
      <c r="D30" s="40">
        <v>257</v>
      </c>
      <c r="E30" s="41">
        <v>151</v>
      </c>
      <c r="F30" s="41">
        <v>141</v>
      </c>
      <c r="G30" s="41">
        <v>235.5</v>
      </c>
      <c r="H30" s="41">
        <v>265</v>
      </c>
      <c r="I30" s="41">
        <v>206.5</v>
      </c>
      <c r="J30" s="41">
        <v>129.5</v>
      </c>
      <c r="K30" s="41"/>
      <c r="L30" s="42"/>
      <c r="M30" s="43"/>
      <c r="N30" s="35">
        <f t="shared" si="29"/>
        <v>1606.5</v>
      </c>
      <c r="O30" s="76"/>
      <c r="P30" t="s">
        <v>51</v>
      </c>
    </row>
    <row r="31" spans="1:16" x14ac:dyDescent="0.3">
      <c r="A31" s="38" t="s">
        <v>65</v>
      </c>
      <c r="B31" s="40">
        <v>6</v>
      </c>
      <c r="C31" s="40">
        <v>3</v>
      </c>
      <c r="D31" s="40">
        <v>23</v>
      </c>
      <c r="E31" s="41">
        <v>86</v>
      </c>
      <c r="F31" s="41">
        <v>54</v>
      </c>
      <c r="G31" s="41">
        <v>37</v>
      </c>
      <c r="H31" s="41">
        <v>18</v>
      </c>
      <c r="I31" s="41">
        <v>0</v>
      </c>
      <c r="J31" s="41">
        <v>0</v>
      </c>
      <c r="K31" s="41"/>
      <c r="L31" s="42"/>
      <c r="M31" s="43"/>
      <c r="N31" s="35">
        <f t="shared" si="29"/>
        <v>227</v>
      </c>
      <c r="O31" s="76"/>
      <c r="P31" t="s">
        <v>52</v>
      </c>
    </row>
    <row r="32" spans="1:16" x14ac:dyDescent="0.3">
      <c r="A32" s="38" t="s">
        <v>66</v>
      </c>
      <c r="B32" s="40">
        <v>4</v>
      </c>
      <c r="C32" s="40">
        <v>28</v>
      </c>
      <c r="D32" s="40">
        <v>49</v>
      </c>
      <c r="E32" s="41">
        <v>36</v>
      </c>
      <c r="F32" s="41">
        <v>23</v>
      </c>
      <c r="G32" s="41">
        <v>10</v>
      </c>
      <c r="H32" s="41">
        <v>53</v>
      </c>
      <c r="I32" s="41">
        <v>60</v>
      </c>
      <c r="J32" s="41">
        <v>79</v>
      </c>
      <c r="K32" s="41"/>
      <c r="L32" s="42"/>
      <c r="M32" s="43"/>
      <c r="N32" s="35">
        <f t="shared" si="29"/>
        <v>342</v>
      </c>
      <c r="O32" s="76"/>
      <c r="P32" t="s">
        <v>53</v>
      </c>
    </row>
    <row r="33" spans="1:15" x14ac:dyDescent="0.3">
      <c r="A33" s="39" t="s">
        <v>41</v>
      </c>
      <c r="B33" s="45">
        <v>128</v>
      </c>
      <c r="C33" s="45">
        <v>145</v>
      </c>
      <c r="D33" s="45">
        <v>150</v>
      </c>
      <c r="E33" s="45">
        <v>169</v>
      </c>
      <c r="F33" s="39">
        <v>133</v>
      </c>
      <c r="G33" s="39">
        <v>172</v>
      </c>
      <c r="H33" s="39">
        <v>145</v>
      </c>
      <c r="I33" s="39">
        <v>129</v>
      </c>
      <c r="J33" s="39">
        <v>144</v>
      </c>
      <c r="K33" s="39"/>
      <c r="L33" s="46"/>
      <c r="M33" s="47"/>
      <c r="N33" s="73">
        <f t="shared" si="29"/>
        <v>1315</v>
      </c>
      <c r="O33" s="76"/>
    </row>
    <row r="34" spans="1:15" x14ac:dyDescent="0.3">
      <c r="A34" s="39" t="s">
        <v>44</v>
      </c>
      <c r="B34" s="45">
        <v>97</v>
      </c>
      <c r="C34" s="45">
        <v>76</v>
      </c>
      <c r="D34" s="45">
        <v>92</v>
      </c>
      <c r="E34" s="45">
        <v>46</v>
      </c>
      <c r="F34" s="39">
        <v>38</v>
      </c>
      <c r="G34" s="39">
        <v>90</v>
      </c>
      <c r="H34" s="39">
        <v>106.5</v>
      </c>
      <c r="I34" s="39">
        <v>105</v>
      </c>
      <c r="J34" s="39">
        <v>82.7</v>
      </c>
      <c r="K34" s="39"/>
      <c r="L34" s="46"/>
      <c r="M34" s="47"/>
      <c r="N34" s="73">
        <f t="shared" si="29"/>
        <v>733.2</v>
      </c>
      <c r="O34" s="77"/>
    </row>
    <row r="35" spans="1:15" x14ac:dyDescent="0.3">
      <c r="A35" s="18" t="s">
        <v>29</v>
      </c>
      <c r="B35" s="21">
        <v>107.3</v>
      </c>
      <c r="C35" s="21">
        <v>70.3</v>
      </c>
      <c r="D35" s="21">
        <v>73.8</v>
      </c>
      <c r="E35" s="21">
        <v>122.5</v>
      </c>
      <c r="F35" s="18">
        <v>92.5</v>
      </c>
      <c r="G35" s="18">
        <v>77.5</v>
      </c>
      <c r="H35" s="18">
        <v>53</v>
      </c>
      <c r="I35" s="18">
        <v>71</v>
      </c>
      <c r="J35" s="18">
        <v>107.5</v>
      </c>
      <c r="K35" s="18"/>
      <c r="L35" s="28"/>
      <c r="M35" s="29"/>
      <c r="N35" s="35">
        <f t="shared" si="29"/>
        <v>775.4</v>
      </c>
      <c r="O35" s="14" t="s">
        <v>45</v>
      </c>
    </row>
    <row r="36" spans="1:15" x14ac:dyDescent="0.3">
      <c r="A36" s="18" t="s">
        <v>30</v>
      </c>
      <c r="B36" s="21">
        <v>106.5</v>
      </c>
      <c r="C36" s="21">
        <v>126.9</v>
      </c>
      <c r="D36" s="21">
        <v>107.5</v>
      </c>
      <c r="E36" s="21">
        <v>141.5</v>
      </c>
      <c r="F36" s="18">
        <v>113</v>
      </c>
      <c r="G36" s="18">
        <v>141.5</v>
      </c>
      <c r="H36" s="18">
        <v>117</v>
      </c>
      <c r="I36" s="18">
        <v>150.5</v>
      </c>
      <c r="J36" s="18">
        <v>154.5</v>
      </c>
      <c r="K36" s="18"/>
      <c r="L36" s="28"/>
      <c r="M36" s="29"/>
      <c r="N36" s="35">
        <f>SUM(B36:M36)</f>
        <v>1158.9000000000001</v>
      </c>
      <c r="O36" s="14" t="s">
        <v>25</v>
      </c>
    </row>
    <row r="37" spans="1:15" x14ac:dyDescent="0.3">
      <c r="A37" s="18" t="s">
        <v>26</v>
      </c>
      <c r="B37" s="21">
        <v>144</v>
      </c>
      <c r="C37" s="21">
        <v>216</v>
      </c>
      <c r="D37" s="21">
        <v>128</v>
      </c>
      <c r="E37" s="18">
        <v>88</v>
      </c>
      <c r="F37" s="18">
        <v>232</v>
      </c>
      <c r="G37" s="18">
        <v>64</v>
      </c>
      <c r="H37" s="18">
        <v>148</v>
      </c>
      <c r="I37" s="18">
        <v>96</v>
      </c>
      <c r="J37" s="18">
        <v>160</v>
      </c>
      <c r="K37" s="18"/>
      <c r="L37" s="28"/>
      <c r="M37" s="29"/>
      <c r="N37" s="35">
        <f t="shared" ref="N37" si="36">SUM(B37:M37)</f>
        <v>1276</v>
      </c>
      <c r="O37" s="14" t="s">
        <v>26</v>
      </c>
    </row>
    <row r="38" spans="1:15" x14ac:dyDescent="0.3">
      <c r="A38" s="10" t="s">
        <v>40</v>
      </c>
      <c r="B38" s="15">
        <f t="shared" ref="B38:F38" si="37">B30+B33+B28+B32</f>
        <v>247.4</v>
      </c>
      <c r="C38" s="15">
        <f t="shared" si="37"/>
        <v>314.5</v>
      </c>
      <c r="D38" s="15">
        <f t="shared" si="37"/>
        <v>482</v>
      </c>
      <c r="E38" s="15">
        <f t="shared" si="37"/>
        <v>384.70000000000005</v>
      </c>
      <c r="F38" s="15">
        <f t="shared" si="37"/>
        <v>306</v>
      </c>
      <c r="G38" s="15">
        <f>G30+G33+G28+G32</f>
        <v>469.5</v>
      </c>
      <c r="H38" s="15">
        <f>H30+H33+H28+H32</f>
        <v>492</v>
      </c>
      <c r="I38" s="15">
        <f>I30+I33+I28+I32</f>
        <v>420.5</v>
      </c>
      <c r="J38" s="15">
        <f>J30+J33+J28+J32</f>
        <v>379.5</v>
      </c>
      <c r="K38" s="24"/>
      <c r="L38" s="24"/>
      <c r="M38" s="31"/>
      <c r="N38" s="35">
        <f t="shared" si="29"/>
        <v>3496.1000000000004</v>
      </c>
      <c r="O38" s="9"/>
    </row>
    <row r="39" spans="1:15" x14ac:dyDescent="0.3">
      <c r="A39" s="11" t="s">
        <v>47</v>
      </c>
      <c r="B39" s="22">
        <f t="shared" ref="B39:G39" si="38">B28/B24</f>
        <v>0.9739130434782608</v>
      </c>
      <c r="C39" s="22">
        <f t="shared" si="38"/>
        <v>0.6428571428571429</v>
      </c>
      <c r="D39" s="22">
        <f t="shared" si="38"/>
        <v>0.8125</v>
      </c>
      <c r="E39" s="22">
        <f t="shared" si="38"/>
        <v>0.73589743589743628</v>
      </c>
      <c r="F39" s="22">
        <f t="shared" si="38"/>
        <v>0.6428571428571429</v>
      </c>
      <c r="G39" s="22">
        <f t="shared" si="38"/>
        <v>1.1818181818181819</v>
      </c>
      <c r="H39" s="22">
        <f t="shared" ref="H39:I39" si="39">H28/H24</f>
        <v>0.82857142857142863</v>
      </c>
      <c r="I39" s="22">
        <f t="shared" si="39"/>
        <v>1.0416666666666667</v>
      </c>
      <c r="J39" s="22">
        <f t="shared" ref="J39" si="40">J28/J24</f>
        <v>1.173913043478261</v>
      </c>
      <c r="K39" s="22"/>
      <c r="L39" s="32"/>
      <c r="M39" s="22"/>
      <c r="N39" s="33" t="s">
        <v>39</v>
      </c>
      <c r="O39" s="9"/>
    </row>
    <row r="40" spans="1:15" x14ac:dyDescent="0.3">
      <c r="A40" s="12" t="s">
        <v>57</v>
      </c>
      <c r="B40" s="22">
        <f t="shared" ref="B40:H40" si="41">(B21+B22)/(B30+B32)</f>
        <v>1.2886597938144331</v>
      </c>
      <c r="C40" s="22">
        <f t="shared" si="41"/>
        <v>0.97435897435897434</v>
      </c>
      <c r="D40" s="22">
        <f t="shared" si="41"/>
        <v>1.4836601307189543</v>
      </c>
      <c r="E40" s="22">
        <f t="shared" si="41"/>
        <v>0.88235294117647056</v>
      </c>
      <c r="F40" s="22">
        <f t="shared" si="41"/>
        <v>0.53048780487804881</v>
      </c>
      <c r="G40" s="22">
        <f t="shared" si="41"/>
        <v>0.51323828920570269</v>
      </c>
      <c r="H40" s="22">
        <f t="shared" si="41"/>
        <v>0.9088050314465409</v>
      </c>
      <c r="I40" s="22">
        <f t="shared" ref="I40:J40" si="42">(I21+I22)/(I30+I32)</f>
        <v>0.90431519699812379</v>
      </c>
      <c r="J40" s="22">
        <f t="shared" si="42"/>
        <v>0.39808153477218228</v>
      </c>
      <c r="K40" s="22"/>
      <c r="L40" s="22"/>
      <c r="M40" s="22"/>
      <c r="N40" s="33" t="s">
        <v>39</v>
      </c>
      <c r="O40" s="9"/>
    </row>
    <row r="41" spans="1:15" x14ac:dyDescent="0.3">
      <c r="A41" s="13" t="s">
        <v>48</v>
      </c>
      <c r="B41" s="22">
        <f t="shared" ref="B41:H41" si="43">B33/(B12+B34)</f>
        <v>0.22483102718762168</v>
      </c>
      <c r="C41" s="22">
        <f t="shared" si="43"/>
        <v>0.15353602410968775</v>
      </c>
      <c r="D41" s="22">
        <f t="shared" si="43"/>
        <v>0.13347131301069462</v>
      </c>
      <c r="E41" s="22">
        <f t="shared" si="43"/>
        <v>0.31492347825341571</v>
      </c>
      <c r="F41" s="22">
        <f t="shared" si="43"/>
        <v>0.1073710595678896</v>
      </c>
      <c r="G41" s="22">
        <f t="shared" si="43"/>
        <v>0.1315484382343792</v>
      </c>
      <c r="H41" s="22">
        <f t="shared" si="43"/>
        <v>0.17130164861958905</v>
      </c>
      <c r="I41" s="22">
        <f t="shared" ref="I41:J41" si="44">I33/(I12+I34)</f>
        <v>0.1224298719320901</v>
      </c>
      <c r="J41" s="22">
        <f t="shared" si="44"/>
        <v>0.12205768817602</v>
      </c>
      <c r="K41" s="22"/>
      <c r="L41" s="34"/>
      <c r="M41" s="22"/>
      <c r="N41" s="33" t="s">
        <v>39</v>
      </c>
      <c r="O41" s="9"/>
    </row>
    <row r="42" spans="1:15" x14ac:dyDescent="0.3">
      <c r="N42" s="27"/>
    </row>
    <row r="43" spans="1:15" x14ac:dyDescent="0.3">
      <c r="A43" s="18"/>
      <c r="B43" s="1" t="s">
        <v>22</v>
      </c>
      <c r="J43" s="8"/>
    </row>
    <row r="44" spans="1:15" x14ac:dyDescent="0.3">
      <c r="A44" s="15"/>
      <c r="B44" s="1" t="s">
        <v>31</v>
      </c>
      <c r="J44" s="8"/>
    </row>
    <row r="46" spans="1:15" x14ac:dyDescent="0.3">
      <c r="A46" t="s">
        <v>38</v>
      </c>
    </row>
  </sheetData>
  <mergeCells count="2">
    <mergeCell ref="A18:N18"/>
    <mergeCell ref="O28:O34"/>
  </mergeCells>
  <phoneticPr fontId="4" type="noConversion"/>
  <pageMargins left="0.7" right="0.7" top="0.75" bottom="0.75" header="0.3" footer="0.3"/>
  <pageSetup paperSize="9" orientation="portrait" r:id="rId1"/>
  <customProperties>
    <customPr name="_pios_i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212D-3657-462A-AC2B-02B9C73CC67C}">
  <dimension ref="C6:H11"/>
  <sheetViews>
    <sheetView workbookViewId="0">
      <selection activeCell="E26" sqref="E26"/>
    </sheetView>
  </sheetViews>
  <sheetFormatPr defaultRowHeight="16.5" x14ac:dyDescent="0.3"/>
  <cols>
    <col min="3" max="3" width="11.125" customWidth="1"/>
  </cols>
  <sheetData>
    <row r="6" spans="3:8" x14ac:dyDescent="0.3">
      <c r="C6" t="s">
        <v>58</v>
      </c>
      <c r="D6" t="s">
        <v>59</v>
      </c>
    </row>
    <row r="7" spans="3:8" x14ac:dyDescent="0.3">
      <c r="C7" t="s">
        <v>60</v>
      </c>
      <c r="D7" t="s">
        <v>61</v>
      </c>
      <c r="E7">
        <f>90-E8</f>
        <v>63</v>
      </c>
      <c r="G7" t="s">
        <v>61</v>
      </c>
      <c r="H7" t="s">
        <v>62</v>
      </c>
    </row>
    <row r="8" spans="3:8" x14ac:dyDescent="0.3">
      <c r="D8" t="s">
        <v>62</v>
      </c>
      <c r="E8">
        <v>27</v>
      </c>
      <c r="G8">
        <f>E7+E9+E11</f>
        <v>162</v>
      </c>
      <c r="H8">
        <f>E8+E10</f>
        <v>79</v>
      </c>
    </row>
    <row r="9" spans="3:8" x14ac:dyDescent="0.3">
      <c r="C9" t="s">
        <v>63</v>
      </c>
      <c r="D9" t="s">
        <v>61</v>
      </c>
      <c r="E9">
        <v>69</v>
      </c>
    </row>
    <row r="10" spans="3:8" x14ac:dyDescent="0.3">
      <c r="D10" t="s">
        <v>62</v>
      </c>
      <c r="E10">
        <v>52</v>
      </c>
    </row>
    <row r="11" spans="3:8" x14ac:dyDescent="0.3">
      <c r="C11" t="s">
        <v>53</v>
      </c>
      <c r="D11" t="s">
        <v>64</v>
      </c>
      <c r="E11">
        <v>30</v>
      </c>
    </row>
  </sheetData>
  <phoneticPr fontId="4" type="noConversion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D345-69D3-48B1-AE95-B5B1182184E1}">
  <dimension ref="A1"/>
  <sheetViews>
    <sheetView workbookViewId="0">
      <selection activeCell="F31" sqref="F31"/>
    </sheetView>
  </sheetViews>
  <sheetFormatPr defaultRowHeight="16.5" x14ac:dyDescent="0.3"/>
  <sheetData/>
  <phoneticPr fontId="4" type="noConversion"/>
  <pageMargins left="0.7" right="0.7" top="0.75" bottom="0.75" header="0.3" footer="0.3"/>
  <customProperties>
    <customPr name="_pios_id" r:id="rId1"/>
  </customProperties>
  <drawing r:id="rId2"/>
</worksheet>
</file>

<file path=docMetadata/LabelInfo.xml><?xml version="1.0" encoding="utf-8"?>
<clbl:labelList xmlns:clbl="http://schemas.microsoft.com/office/2020/mipLabelMetadata">
  <clbl:label id="{9c86c25f-31f1-46f7-b4f9-3c53b1ed0b07}" enabled="1" method="Standard" siteId="{a1ae89fb-21b9-40bf-9d82-a10ae85a24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2026 Overview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Jongsik</dc:creator>
  <cp:lastModifiedBy>Park, Jongsik</cp:lastModifiedBy>
  <dcterms:created xsi:type="dcterms:W3CDTF">2026-04-07T01:50:26Z</dcterms:created>
  <dcterms:modified xsi:type="dcterms:W3CDTF">2026-10-16T05:20:44Z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